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A_Report" sheetId="1" state="visible" r:id="rId1"/>
    <sheet name="P&amp;L Monthly" sheetId="2" state="visible" r:id="rId2"/>
    <sheet name="OPEX Detail" sheetId="3" state="visible" r:id="rId3"/>
    <sheet name="Reconciliation" sheetId="4" state="visible" r:id="rId4"/>
    <sheet name="Sources" sheetId="5" state="visible" r:id="rId5"/>
  </sheets>
  <definedNames>
    <definedName name="_xlnm._FilterDatabase" localSheetId="0" hidden="1">'QA_Report'!$A$21:$I$30</definedName>
  </definedNames>
</workbook>
</file>

<file path=xl/styles.xml><?xml version="1.0" encoding="utf-8"?>
<styleSheet xmlns="http://schemas.openxmlformats.org/spreadsheetml/2006/main">
  <numFmts count="1">
    <numFmt numFmtId="164" formatCode="#,##0;[Red](#,##0);-"/>
  </numFmts>
  <fonts count="5">
    <font>
      <name val="Carlito"/>
      <sz val="11"/>
    </font>
    <font>
      <name val="Carlito"/>
      <b val="1"/>
      <color rgb="00FFFFFF"/>
      <sz val="11"/>
    </font>
    <font>
      <b val="1"/>
      <sz val="20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EF2F7"/>
      </patternFill>
    </fill>
    <fill>
      <patternFill patternType="solid">
        <fgColor rgb="00D9EAF7"/>
      </patternFill>
    </fill>
  </fills>
  <borders count="3">
    <border/>
    <border/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1"/>
  </cellStyleXfs>
  <cellXfs count="3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6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0" borderId="0" pivotButton="0" quotePrefix="0" xfId="0"/>
    <xf numFmtId="0" fontId="3" fillId="7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</cellXfs>
  <cellStyles count="1">
    <cellStyle name="Normal" xfId="0"/>
  </cellStyles>
  <dxfs count="2">
    <dxf>
      <fill>
        <patternFill patternType="solid">
          <bgColor rgb="00FECACA"/>
        </patternFill>
      </fill>
    </dxf>
    <dxf>
      <fill>
        <patternFill patternType="solid">
          <bgColor rgb="00FECAC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Finance Report Checker</author>
  </authors>
  <commentList>
    <comment ref="E4" authorId="0" shapeId="0">
      <text>
        <t>Severity: medium
Type: formula_inconsistency_in_row
Metric: Total Net Sales
Period: Apr
Message: Formula pattern differs from neighboring formulas in the same row.
Business impact: This may affect the reliability of the financial report.
Suggested fix: Review whether this formula should match the copied pattern used nearby.</t>
      </text>
    </comment>
    <comment ref="D8" authorId="0" shapeId="0">
      <text>
        <t>Severity: medium
Type: hardcoded_value_among_formulas
Metric: Gross Margin
Period: Mar
Message: Numeric constant found in a row that mostly contains formulas.
Business impact: This may affect the reliability of the financial report.
Suggested fix: Check whether this value should be a formula copied from adjacent periods.</t>
      </text>
    </comment>
    <comment ref="G9" authorId="0" shapeId="0">
      <text>
        <t>Severity: low
Type: blank_cell_between_values
Metric: Research &amp; Development
Period: Jun
Message: Blank cell found between non-empty cells in the same row.
Business impact: This may affect the reliability of the financial report.
Suggested fix: Check whether this blank cell should contain a value or formula.</t>
      </text>
    </comment>
    <comment ref="J10" authorId="0" shapeId="0">
      <text>
        <t>Severity: medium
Type: variance_spike_between_periods
Metric: Selling, General &amp; Administrative
Period: Sep
Message: Value changed by more than 50% compared with the previous period.
Business impact: This may affect the reliability of the financial report.
Suggested fix: Review whether this period-over-period movement is expected and properly explained.</t>
      </text>
    </comment>
    <comment ref="K10" authorId="0" shapeId="0">
      <text>
        <t>Severity: medium
Type: variance_spike_between_periods
Metric: Selling, General &amp; Administrative
Period: Oct
Message: Value changed by more than 50% compared with the previous period.
Business impact: This may affect the reliability of the financial report.
Suggested fix: Review whether this period-over-period movement is expected and properly explained.</t>
      </text>
    </comment>
    <comment ref="K12" authorId="0" shapeId="0">
      <text>
        <t>Severity: medium
Type: formula_inconsistency_in_row
Metric: Operating Income
Period: Oct
Message: Formula pattern differs from neighboring formulas in the same row.
Business impact: This may affect the reliability of the financial report.
Suggested fix: Review whether this formula should match the copied pattern used nearby.</t>
      </text>
    </comment>
  </commentList>
</comments>
</file>

<file path=xl/comments/comment2.xml><?xml version="1.0" encoding="utf-8"?>
<comments xmlns="http://schemas.openxmlformats.org/spreadsheetml/2006/main">
  <authors>
    <author>Finance Report Checker</author>
  </authors>
  <commentList>
    <comment ref="J8" authorId="0" shapeId="0">
      <text>
        <t>Severity: medium
Type: variance_spike_between_periods
Metric: Other G&amp;A
Period: Sep
Message: Value changed by more than 50% compared with the previous period.
Business impact: This may affect the reliability of the financial report.
Suggested fix: Review whether this period-over-period movement is expected and properly explained.</t>
      </text>
    </comment>
    <comment ref="K8" authorId="0" shapeId="0">
      <text>
        <t>Severity: medium
Type: variance_spike_between_periods
Metric: Other G&amp;A
Period: Oct
Message: Value changed by more than 50% compared with the previous period.
Business impact: This may affect the reliability of the financial report.
Suggested fix: Review whether this period-over-period movement is expected and properly explained.</t>
      </text>
    </comment>
    <comment ref="F9" authorId="0" shapeId="0">
      <text>
        <t>Severity: high
Type: total_formula_mismatch
Metric: Total OPEX Detail
Period: May
Message: Total formula may not include all expected detail rows.
Business impact: This may affect operating expense analysis.
Suggested fix: Review whether the total formula includes all relevant detail rows for this period.</t>
      </text>
    </comment>
  </commentList>
</comments>
</file>

<file path=xl/tables/table1.xml><?xml version="1.0" encoding="utf-8"?>
<table xmlns="http://schemas.openxmlformats.org/spreadsheetml/2006/main" id="1" name="PLMonthlyTable" displayName="PLMonthlyTable" ref="A1:N16" headerRowCount="1">
  <tableColumns count="14">
    <tableColumn id="1" name="Metric"/>
    <tableColumn id="2" name="Jan"/>
    <tableColumn id="3" name="Feb"/>
    <tableColumn id="4" name="Mar"/>
    <tableColumn id="5" name="Apr"/>
    <tableColumn id="6" name="May"/>
    <tableColumn id="7" name="Jun"/>
    <tableColumn id="8" name="Jul"/>
    <tableColumn id="9" name="Aug"/>
    <tableColumn id="10" name="Sep"/>
    <tableColumn id="11" name="Oct"/>
    <tableColumn id="12" name="Nov"/>
    <tableColumn id="13" name="Dec"/>
    <tableColumn id="14" name="FY Total"/>
  </tableColumns>
  <tableStyleInfo name="TableStyleMedium2" showRowStripes="1"/>
</table>
</file>

<file path=xl/tables/table2.xml><?xml version="1.0" encoding="utf-8"?>
<table xmlns="http://schemas.openxmlformats.org/spreadsheetml/2006/main" id="2" name="OPEXDetailTable" displayName="OPEXDetailTable" ref="A1:N9" headerRowCount="1">
  <tableColumns count="14">
    <tableColumn id="1" name="Metric"/>
    <tableColumn id="2" name="Jan"/>
    <tableColumn id="3" name="Feb"/>
    <tableColumn id="4" name="Mar"/>
    <tableColumn id="5" name="Apr"/>
    <tableColumn id="6" name="May"/>
    <tableColumn id="7" name="Jun"/>
    <tableColumn id="8" name="Jul"/>
    <tableColumn id="9" name="Aug"/>
    <tableColumn id="10" name="Sep"/>
    <tableColumn id="11" name="Oct"/>
    <tableColumn id="12" name="Nov"/>
    <tableColumn id="13" name="Dec"/>
    <tableColumn id="14" name="FY Total"/>
  </tableColumns>
  <tableStyleInfo name="TableStyleMedium2" showRowStripes="1"/>
</table>
</file>

<file path=xl/tables/table3.xml><?xml version="1.0" encoding="utf-8"?>
<table xmlns="http://schemas.openxmlformats.org/spreadsheetml/2006/main" id="3" name="ReconciliationTable" displayName="ReconciliationTable" ref="A1:N7" headerRowCount="1">
  <tableColumns count="14">
    <tableColumn id="1" name="Metric"/>
    <tableColumn id="2" name="Jan"/>
    <tableColumn id="3" name="Feb"/>
    <tableColumn id="4" name="Mar"/>
    <tableColumn id="5" name="Apr"/>
    <tableColumn id="6" name="May"/>
    <tableColumn id="7" name="Jun"/>
    <tableColumn id="8" name="Jul"/>
    <tableColumn id="9" name="Aug"/>
    <tableColumn id="10" name="Sep"/>
    <tableColumn id="11" name="Oct"/>
    <tableColumn id="12" name="Nov"/>
    <tableColumn id="13" name="Dec"/>
    <tableColumn id="14" name="FY Total"/>
  </tableColumns>
  <tableStyleInfo name="TableStyleMedium2" showRowStripes="1"/>
</table>
</file>

<file path=xl/tables/table4.xml><?xml version="1.0" encoding="utf-8"?>
<table xmlns="http://schemas.openxmlformats.org/spreadsheetml/2006/main" id="4" name="SourcesTable" displayName="SourcesTable" ref="A1:D3" headerRowCount="1">
  <tableColumns count="4">
    <tableColumn id="1" name="Source"/>
    <tableColumn id="2" name="URL"/>
    <tableColumn id="3" name="Notes"/>
    <tableColumn id="4" name="Used for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12" customWidth="1" min="4" max="4"/>
    <col width="22" customWidth="1" min="5" max="5"/>
    <col width="16" customWidth="1" min="6" max="6"/>
    <col width="46" customWidth="1" min="7" max="7"/>
    <col width="52" customWidth="1" min="8" max="8"/>
    <col width="56" customWidth="1" min="9" max="9"/>
  </cols>
  <sheetData>
    <row r="1" ht="30" customHeight="1">
      <c r="A1" s="22" t="inlineStr">
        <is>
          <t>Finance Report Checker - QA Report</t>
        </is>
      </c>
    </row>
    <row r="2"/>
    <row r="3" ht="22" customHeight="1">
      <c r="A3" s="23" t="inlineStr">
        <is>
          <t>Workbook</t>
        </is>
      </c>
      <c r="B3" s="24" t="inlineStr">
        <is>
          <t>sample_finance_report_large.xlsx</t>
        </is>
      </c>
    </row>
    <row r="4" ht="22" customHeight="1">
      <c r="A4" s="23" t="inlineStr">
        <is>
          <t>Risk Score</t>
        </is>
      </c>
      <c r="B4" s="24" t="n">
        <v>38</v>
      </c>
    </row>
    <row r="5" ht="22" customHeight="1">
      <c r="A5" s="23" t="inlineStr">
        <is>
          <t>Risk Level</t>
        </is>
      </c>
      <c r="B5" s="24" t="inlineStr">
        <is>
          <t>high</t>
        </is>
      </c>
    </row>
    <row r="6" ht="58" customHeight="1">
      <c r="A6" s="23" t="inlineStr">
        <is>
          <t>Executive Summary</t>
        </is>
      </c>
      <c r="B6" s="24" t="inlineStr">
        <is>
          <t>The workbook contains 9 potential issues: 1 high, 7 medium, and 1 low. The main risks are hardcoded values among formulas, total formulas that may omit detail rows, large period-over-period variances, formula inconsistencies, and blank cells between values.</t>
        </is>
      </c>
    </row>
    <row r="7" ht="22" customHeight="1">
      <c r="A7" s="23" t="inlineStr">
        <is>
          <t>High Issues</t>
        </is>
      </c>
      <c r="B7" s="24" t="n">
        <v>1</v>
      </c>
    </row>
    <row r="8" ht="22" customHeight="1">
      <c r="A8" s="23" t="inlineStr">
        <is>
          <t>Medium Issues</t>
        </is>
      </c>
      <c r="B8" s="24" t="n">
        <v>7</v>
      </c>
    </row>
    <row r="9" ht="22" customHeight="1">
      <c r="A9" s="23" t="inlineStr">
        <is>
          <t>Low Issues</t>
        </is>
      </c>
      <c r="B9" s="24" t="n">
        <v>1</v>
      </c>
    </row>
    <row r="10"/>
    <row r="11"/>
    <row r="12" ht="24" customHeight="1">
      <c r="A12" s="25" t="inlineStr">
        <is>
          <t>Sheet Statistics</t>
        </is>
      </c>
    </row>
    <row r="13" ht="30" customHeight="1">
      <c r="A13" s="26" t="inlineStr">
        <is>
          <t>Sheet</t>
        </is>
      </c>
      <c r="B13" s="26" t="inlineStr">
        <is>
          <t>Used Range</t>
        </is>
      </c>
      <c r="C13" s="26" t="inlineStr">
        <is>
          <t>Non-empty Cells</t>
        </is>
      </c>
      <c r="D13" s="26" t="inlineStr">
        <is>
          <t>Formula Cells</t>
        </is>
      </c>
      <c r="E13" s="26" t="inlineStr">
        <is>
          <t>Numeric Constant Cells</t>
        </is>
      </c>
      <c r="F13" s="26" t="inlineStr">
        <is>
          <t>Blank Cells Inside Used Range</t>
        </is>
      </c>
    </row>
    <row r="14" ht="24" customHeight="1">
      <c r="A14" s="24" t="inlineStr">
        <is>
          <t>P&amp;L Monthly</t>
        </is>
      </c>
      <c r="B14" s="24" t="inlineStr">
        <is>
          <t>A1:N16</t>
        </is>
      </c>
      <c r="C14" s="24" t="n">
        <v>223</v>
      </c>
      <c r="D14" s="24" t="n">
        <v>110</v>
      </c>
      <c r="E14" s="24" t="n">
        <v>84</v>
      </c>
      <c r="F14" s="24" t="n">
        <v>1</v>
      </c>
    </row>
    <row r="15" ht="24" customHeight="1">
      <c r="A15" s="24" t="inlineStr">
        <is>
          <t>OPEX Detail</t>
        </is>
      </c>
      <c r="B15" s="24" t="inlineStr">
        <is>
          <t>A1:N9</t>
        </is>
      </c>
      <c r="C15" s="24" t="n">
        <v>126</v>
      </c>
      <c r="D15" s="24" t="n">
        <v>20</v>
      </c>
      <c r="E15" s="24" t="n">
        <v>84</v>
      </c>
      <c r="F15" s="24" t="n">
        <v>0</v>
      </c>
    </row>
    <row r="16" ht="24" customHeight="1">
      <c r="A16" s="24" t="inlineStr">
        <is>
          <t>Reconciliation</t>
        </is>
      </c>
      <c r="B16" s="24" t="inlineStr">
        <is>
          <t>A1:N7</t>
        </is>
      </c>
      <c r="C16" s="24" t="n">
        <v>98</v>
      </c>
      <c r="D16" s="24" t="n">
        <v>78</v>
      </c>
      <c r="E16" s="24" t="n">
        <v>0</v>
      </c>
      <c r="F16" s="24" t="n">
        <v>0</v>
      </c>
    </row>
    <row r="17" ht="24" customHeight="1">
      <c r="A17" s="24" t="inlineStr">
        <is>
          <t>Sources</t>
        </is>
      </c>
      <c r="B17" s="24" t="inlineStr">
        <is>
          <t>A1:D3</t>
        </is>
      </c>
      <c r="C17" s="24" t="n">
        <v>12</v>
      </c>
      <c r="D17" s="24" t="n">
        <v>0</v>
      </c>
      <c r="E17" s="24" t="n">
        <v>0</v>
      </c>
      <c r="F17" s="24" t="n">
        <v>0</v>
      </c>
    </row>
    <row r="18"/>
    <row r="19"/>
    <row r="20" ht="24" customHeight="1">
      <c r="A20" s="25" t="inlineStr">
        <is>
          <t>Issues</t>
        </is>
      </c>
    </row>
    <row r="21" ht="32" customHeight="1">
      <c r="A21" s="26" t="inlineStr">
        <is>
          <t>Severity</t>
        </is>
      </c>
      <c r="B21" s="26" t="inlineStr">
        <is>
          <t>Type</t>
        </is>
      </c>
      <c r="C21" s="26" t="inlineStr">
        <is>
          <t>Sheet</t>
        </is>
      </c>
      <c r="D21" s="26" t="inlineStr">
        <is>
          <t>Cell</t>
        </is>
      </c>
      <c r="E21" s="26" t="inlineStr">
        <is>
          <t>Metric</t>
        </is>
      </c>
      <c r="F21" s="26" t="inlineStr">
        <is>
          <t>Period</t>
        </is>
      </c>
      <c r="G21" s="26" t="inlineStr">
        <is>
          <t>Message</t>
        </is>
      </c>
      <c r="H21" s="26" t="inlineStr">
        <is>
          <t>Business Impact</t>
        </is>
      </c>
      <c r="I21" s="26" t="inlineStr">
        <is>
          <t>Suggested Fix</t>
        </is>
      </c>
    </row>
    <row r="22" ht="58" customHeight="1">
      <c r="A22" s="27" t="inlineStr">
        <is>
          <t>medium</t>
        </is>
      </c>
      <c r="B22" s="24" t="inlineStr">
        <is>
          <t>formula_inconsistency_in_row</t>
        </is>
      </c>
      <c r="C22" s="24" t="inlineStr">
        <is>
          <t>P&amp;L Monthly</t>
        </is>
      </c>
      <c r="D22" s="24" t="inlineStr">
        <is>
          <t>E4</t>
        </is>
      </c>
      <c r="E22" s="24" t="inlineStr">
        <is>
          <t>Total Net Sales</t>
        </is>
      </c>
      <c r="F22" s="24" t="inlineStr">
        <is>
          <t>Apr</t>
        </is>
      </c>
      <c r="G22" s="24" t="inlineStr">
        <is>
          <t>Formula pattern differs from neighboring formulas in the same row.</t>
        </is>
      </c>
      <c r="H22" s="24" t="inlineStr">
        <is>
          <t>This may affect the reliability of the financial report.</t>
        </is>
      </c>
      <c r="I22" s="24" t="inlineStr">
        <is>
          <t>Review whether this formula should match the copied pattern used nearby.</t>
        </is>
      </c>
    </row>
    <row r="23" ht="58" customHeight="1">
      <c r="A23" s="27" t="inlineStr">
        <is>
          <t>medium</t>
        </is>
      </c>
      <c r="B23" s="24" t="inlineStr">
        <is>
          <t>hardcoded_value_among_formulas</t>
        </is>
      </c>
      <c r="C23" s="24" t="inlineStr">
        <is>
          <t>P&amp;L Monthly</t>
        </is>
      </c>
      <c r="D23" s="24" t="inlineStr">
        <is>
          <t>D8</t>
        </is>
      </c>
      <c r="E23" s="24" t="inlineStr">
        <is>
          <t>Gross Margin</t>
        </is>
      </c>
      <c r="F23" s="24" t="inlineStr">
        <is>
          <t>Mar</t>
        </is>
      </c>
      <c r="G23" s="24" t="inlineStr">
        <is>
          <t>Numeric constant found in a row that mostly contains formulas.</t>
        </is>
      </c>
      <c r="H23" s="24" t="inlineStr">
        <is>
          <t>This may affect the reliability of the financial report.</t>
        </is>
      </c>
      <c r="I23" s="24" t="inlineStr">
        <is>
          <t>Check whether this value should be a formula copied from adjacent periods.</t>
        </is>
      </c>
    </row>
    <row r="24" ht="58" customHeight="1">
      <c r="A24" s="28" t="inlineStr">
        <is>
          <t>low</t>
        </is>
      </c>
      <c r="B24" s="24" t="inlineStr">
        <is>
          <t>blank_cell_between_values</t>
        </is>
      </c>
      <c r="C24" s="24" t="inlineStr">
        <is>
          <t>P&amp;L Monthly</t>
        </is>
      </c>
      <c r="D24" s="24" t="inlineStr">
        <is>
          <t>G9</t>
        </is>
      </c>
      <c r="E24" s="24" t="inlineStr">
        <is>
          <t>Research &amp; Development</t>
        </is>
      </c>
      <c r="F24" s="24" t="inlineStr">
        <is>
          <t>Jun</t>
        </is>
      </c>
      <c r="G24" s="24" t="inlineStr">
        <is>
          <t>Blank cell found between non-empty cells in the same row.</t>
        </is>
      </c>
      <c r="H24" s="24" t="inlineStr">
        <is>
          <t>This may affect the reliability of the financial report.</t>
        </is>
      </c>
      <c r="I24" s="24" t="inlineStr">
        <is>
          <t>Check whether this blank cell should contain a value or formula.</t>
        </is>
      </c>
    </row>
    <row r="25" ht="58" customHeight="1">
      <c r="A25" s="27" t="inlineStr">
        <is>
          <t>medium</t>
        </is>
      </c>
      <c r="B25" s="24" t="inlineStr">
        <is>
          <t>variance_spike_between_periods</t>
        </is>
      </c>
      <c r="C25" s="24" t="inlineStr">
        <is>
          <t>P&amp;L Monthly</t>
        </is>
      </c>
      <c r="D25" s="24" t="inlineStr">
        <is>
          <t>J10</t>
        </is>
      </c>
      <c r="E25" s="24" t="inlineStr">
        <is>
          <t>Selling, General &amp; Administrative</t>
        </is>
      </c>
      <c r="F25" s="24" t="inlineStr">
        <is>
          <t>Sep</t>
        </is>
      </c>
      <c r="G25" s="24" t="inlineStr">
        <is>
          <t>Value changed by more than 50% compared with the previous period.</t>
        </is>
      </c>
      <c r="H25" s="24" t="inlineStr">
        <is>
          <t>This may affect the reliability of the financial report.</t>
        </is>
      </c>
      <c r="I25" s="24" t="inlineStr">
        <is>
          <t>Review whether this period-over-period movement is expected and properly explained.</t>
        </is>
      </c>
    </row>
    <row r="26" ht="58" customHeight="1">
      <c r="A26" s="27" t="inlineStr">
        <is>
          <t>medium</t>
        </is>
      </c>
      <c r="B26" s="24" t="inlineStr">
        <is>
          <t>variance_spike_between_periods</t>
        </is>
      </c>
      <c r="C26" s="24" t="inlineStr">
        <is>
          <t>P&amp;L Monthly</t>
        </is>
      </c>
      <c r="D26" s="24" t="inlineStr">
        <is>
          <t>K10</t>
        </is>
      </c>
      <c r="E26" s="24" t="inlineStr">
        <is>
          <t>Selling, General &amp; Administrative</t>
        </is>
      </c>
      <c r="F26" s="24" t="inlineStr">
        <is>
          <t>Oct</t>
        </is>
      </c>
      <c r="G26" s="24" t="inlineStr">
        <is>
          <t>Value changed by more than 50% compared with the previous period.</t>
        </is>
      </c>
      <c r="H26" s="24" t="inlineStr">
        <is>
          <t>This may affect the reliability of the financial report.</t>
        </is>
      </c>
      <c r="I26" s="24" t="inlineStr">
        <is>
          <t>Review whether this period-over-period movement is expected and properly explained.</t>
        </is>
      </c>
    </row>
    <row r="27" ht="58" customHeight="1">
      <c r="A27" s="27" t="inlineStr">
        <is>
          <t>medium</t>
        </is>
      </c>
      <c r="B27" s="24" t="inlineStr">
        <is>
          <t>formula_inconsistency_in_row</t>
        </is>
      </c>
      <c r="C27" s="24" t="inlineStr">
        <is>
          <t>P&amp;L Monthly</t>
        </is>
      </c>
      <c r="D27" s="24" t="inlineStr">
        <is>
          <t>K12</t>
        </is>
      </c>
      <c r="E27" s="24" t="inlineStr">
        <is>
          <t>Operating Income</t>
        </is>
      </c>
      <c r="F27" s="24" t="inlineStr">
        <is>
          <t>Oct</t>
        </is>
      </c>
      <c r="G27" s="24" t="inlineStr">
        <is>
          <t>Formula pattern differs from neighboring formulas in the same row.</t>
        </is>
      </c>
      <c r="H27" s="24" t="inlineStr">
        <is>
          <t>This may affect the reliability of the financial report.</t>
        </is>
      </c>
      <c r="I27" s="24" t="inlineStr">
        <is>
          <t>Review whether this formula should match the copied pattern used nearby.</t>
        </is>
      </c>
    </row>
    <row r="28" ht="58" customHeight="1">
      <c r="A28" s="27" t="inlineStr">
        <is>
          <t>medium</t>
        </is>
      </c>
      <c r="B28" s="24" t="inlineStr">
        <is>
          <t>variance_spike_between_periods</t>
        </is>
      </c>
      <c r="C28" s="24" t="inlineStr">
        <is>
          <t>OPEX Detail</t>
        </is>
      </c>
      <c r="D28" s="24" t="inlineStr">
        <is>
          <t>J8</t>
        </is>
      </c>
      <c r="E28" s="24" t="inlineStr">
        <is>
          <t>Other G&amp;A</t>
        </is>
      </c>
      <c r="F28" s="24" t="inlineStr">
        <is>
          <t>Sep</t>
        </is>
      </c>
      <c r="G28" s="24" t="inlineStr">
        <is>
          <t>Value changed by more than 50% compared with the previous period.</t>
        </is>
      </c>
      <c r="H28" s="24" t="inlineStr">
        <is>
          <t>This may affect the reliability of the financial report.</t>
        </is>
      </c>
      <c r="I28" s="24" t="inlineStr">
        <is>
          <t>Review whether this period-over-period movement is expected and properly explained.</t>
        </is>
      </c>
    </row>
    <row r="29" ht="58" customHeight="1">
      <c r="A29" s="27" t="inlineStr">
        <is>
          <t>medium</t>
        </is>
      </c>
      <c r="B29" s="24" t="inlineStr">
        <is>
          <t>variance_spike_between_periods</t>
        </is>
      </c>
      <c r="C29" s="24" t="inlineStr">
        <is>
          <t>OPEX Detail</t>
        </is>
      </c>
      <c r="D29" s="24" t="inlineStr">
        <is>
          <t>K8</t>
        </is>
      </c>
      <c r="E29" s="24" t="inlineStr">
        <is>
          <t>Other G&amp;A</t>
        </is>
      </c>
      <c r="F29" s="24" t="inlineStr">
        <is>
          <t>Oct</t>
        </is>
      </c>
      <c r="G29" s="24" t="inlineStr">
        <is>
          <t>Value changed by more than 50% compared with the previous period.</t>
        </is>
      </c>
      <c r="H29" s="24" t="inlineStr">
        <is>
          <t>This may affect the reliability of the financial report.</t>
        </is>
      </c>
      <c r="I29" s="24" t="inlineStr">
        <is>
          <t>Review whether this period-over-period movement is expected and properly explained.</t>
        </is>
      </c>
    </row>
    <row r="30" ht="58" customHeight="1">
      <c r="A30" s="29" t="inlineStr">
        <is>
          <t>high</t>
        </is>
      </c>
      <c r="B30" s="24" t="inlineStr">
        <is>
          <t>total_formula_mismatch</t>
        </is>
      </c>
      <c r="C30" s="24" t="inlineStr">
        <is>
          <t>OPEX Detail</t>
        </is>
      </c>
      <c r="D30" s="24" t="inlineStr">
        <is>
          <t>F9</t>
        </is>
      </c>
      <c r="E30" s="24" t="inlineStr">
        <is>
          <t>Total OPEX Detail</t>
        </is>
      </c>
      <c r="F30" s="24" t="inlineStr">
        <is>
          <t>May</t>
        </is>
      </c>
      <c r="G30" s="24" t="inlineStr">
        <is>
          <t>Total formula may not include all expected detail rows.</t>
        </is>
      </c>
      <c r="H30" s="24" t="inlineStr">
        <is>
          <t>This may affect operating expense analysis.</t>
        </is>
      </c>
      <c r="I30" s="24" t="inlineStr">
        <is>
          <t>Review whether the total formula includes all relevant detail rows for this period.</t>
        </is>
      </c>
    </row>
  </sheetData>
  <autoFilter ref="A21:I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4" customWidth="1" min="16" max="16"/>
    <col width="34" customWidth="1" min="17" max="17"/>
    <col width="34" customWidth="1" min="18" max="18"/>
  </cols>
  <sheetData>
    <row r="1" ht="24" customHeight="1">
      <c r="A1" s="16" t="inlineStr">
        <is>
          <t>Metric</t>
        </is>
      </c>
      <c r="B1" s="16" t="inlineStr">
        <is>
          <t>Jan</t>
        </is>
      </c>
      <c r="C1" s="16" t="inlineStr">
        <is>
          <t>Feb</t>
        </is>
      </c>
      <c r="D1" s="16" t="inlineStr">
        <is>
          <t>Mar</t>
        </is>
      </c>
      <c r="E1" s="16" t="inlineStr">
        <is>
          <t>Apr</t>
        </is>
      </c>
      <c r="F1" s="16" t="inlineStr">
        <is>
          <t>May</t>
        </is>
      </c>
      <c r="G1" s="16" t="inlineStr">
        <is>
          <t>Jun</t>
        </is>
      </c>
      <c r="H1" s="16" t="inlineStr">
        <is>
          <t>Jul</t>
        </is>
      </c>
      <c r="I1" s="16" t="inlineStr">
        <is>
          <t>Aug</t>
        </is>
      </c>
      <c r="J1" s="16" t="inlineStr">
        <is>
          <t>Sep</t>
        </is>
      </c>
      <c r="K1" s="16" t="inlineStr">
        <is>
          <t>Oct</t>
        </is>
      </c>
      <c r="L1" s="16" t="inlineStr">
        <is>
          <t>Nov</t>
        </is>
      </c>
      <c r="M1" s="16" t="inlineStr">
        <is>
          <t>Dec</t>
        </is>
      </c>
      <c r="N1" s="16" t="inlineStr">
        <is>
          <t>FY Total</t>
        </is>
      </c>
      <c r="O1" s="12" t="n"/>
      <c r="P1" s="12" t="inlineStr">
        <is>
          <t>Test Case Notes</t>
        </is>
      </c>
      <c r="Q1" s="12" t="inlineStr">
        <is>
          <t>Expected Detection</t>
        </is>
      </c>
      <c r="R1" s="12" t="inlineStr">
        <is>
          <t>Purpose</t>
        </is>
      </c>
    </row>
    <row r="2">
      <c r="A2" s="17" t="inlineStr">
        <is>
          <t>Net Sales - Products</t>
        </is>
      </c>
      <c r="B2" s="30" t="n">
        <v>25000</v>
      </c>
      <c r="C2" s="30" t="n">
        <v>23500</v>
      </c>
      <c r="D2" s="30" t="n">
        <v>24000</v>
      </c>
      <c r="E2" s="30" t="n">
        <v>26000</v>
      </c>
      <c r="F2" s="30" t="n">
        <v>25500</v>
      </c>
      <c r="G2" s="30" t="n">
        <v>25000</v>
      </c>
      <c r="H2" s="30" t="n">
        <v>24500</v>
      </c>
      <c r="I2" s="30" t="n">
        <v>24800</v>
      </c>
      <c r="J2" s="30" t="n">
        <v>26000</v>
      </c>
      <c r="K2" s="30" t="n">
        <v>27000</v>
      </c>
      <c r="L2" s="30" t="n">
        <v>28000</v>
      </c>
      <c r="M2" s="30" t="n">
        <v>28961</v>
      </c>
      <c r="N2" s="30">
        <f>SUM(B2:M2)</f>
        <v/>
      </c>
      <c r="O2" s="12" t="n"/>
      <c r="P2" s="12" t="inlineStr">
        <is>
          <t>D8 hardcoded as 15500</t>
        </is>
      </c>
      <c r="Q2" s="12" t="inlineStr">
        <is>
          <t>hardcoded_value_among_formulas</t>
        </is>
      </c>
      <c r="R2" s="12" t="inlineStr">
        <is>
          <t>Gross Margin formula row has one manual value</t>
        </is>
      </c>
    </row>
    <row r="3">
      <c r="A3" s="17" t="inlineStr">
        <is>
          <t>Net Sales - Services</t>
        </is>
      </c>
      <c r="B3" s="30" t="n">
        <v>7600</v>
      </c>
      <c r="C3" s="30" t="n">
        <v>7800</v>
      </c>
      <c r="D3" s="30" t="n">
        <v>7900</v>
      </c>
      <c r="E3" s="30" t="n">
        <v>8000</v>
      </c>
      <c r="F3" s="30" t="n">
        <v>8100</v>
      </c>
      <c r="G3" s="30" t="n">
        <v>8200</v>
      </c>
      <c r="H3" s="30" t="n">
        <v>8300</v>
      </c>
      <c r="I3" s="30" t="n">
        <v>8350</v>
      </c>
      <c r="J3" s="30" t="n">
        <v>8400</v>
      </c>
      <c r="K3" s="30" t="n">
        <v>8500</v>
      </c>
      <c r="L3" s="30" t="n">
        <v>8600</v>
      </c>
      <c r="M3" s="30" t="n">
        <v>8660</v>
      </c>
      <c r="N3" s="30">
        <f>SUM(B3:M3)</f>
        <v/>
      </c>
      <c r="O3" s="12" t="n"/>
      <c r="P3" s="12" t="inlineStr">
        <is>
          <t>G9 blank</t>
        </is>
      </c>
      <c r="Q3" s="12" t="inlineStr">
        <is>
          <t>blank_cell_between_values</t>
        </is>
      </c>
      <c r="R3" s="12" t="inlineStr">
        <is>
          <t>R&amp;D row has a blank month between numeric values</t>
        </is>
      </c>
    </row>
    <row r="4">
      <c r="A4" s="17" t="inlineStr">
        <is>
          <t>Total Net Sales</t>
        </is>
      </c>
      <c r="B4" s="30">
        <f>B2+B3</f>
        <v/>
      </c>
      <c r="C4" s="30">
        <f>C2+C3</f>
        <v/>
      </c>
      <c r="D4" s="30">
        <f>D2+D3</f>
        <v/>
      </c>
      <c r="E4" s="31">
        <f>E2+E2</f>
        <v/>
      </c>
      <c r="F4" s="30">
        <f>F2+F3</f>
        <v/>
      </c>
      <c r="G4" s="30">
        <f>G2+G3</f>
        <v/>
      </c>
      <c r="H4" s="30">
        <f>H2+H3</f>
        <v/>
      </c>
      <c r="I4" s="30">
        <f>I2+I3</f>
        <v/>
      </c>
      <c r="J4" s="30">
        <f>J2+J3</f>
        <v/>
      </c>
      <c r="K4" s="30">
        <f>K2+K3</f>
        <v/>
      </c>
      <c r="L4" s="30">
        <f>L2+L3</f>
        <v/>
      </c>
      <c r="M4" s="30">
        <f>M2+M3</f>
        <v/>
      </c>
      <c r="N4" s="30">
        <f>SUM(B4:M4)</f>
        <v/>
      </c>
      <c r="O4" s="12" t="n"/>
      <c r="P4" s="12" t="inlineStr">
        <is>
          <t>I10 SG&amp;A spike to -5200</t>
        </is>
      </c>
      <c r="Q4" s="12" t="inlineStr">
        <is>
          <t>variance_spike_between_periods</t>
        </is>
      </c>
      <c r="R4" s="12" t="inlineStr">
        <is>
          <t>Unusual SG&amp;A movement vs prior period</t>
        </is>
      </c>
    </row>
    <row r="5">
      <c r="A5" s="17" t="inlineStr">
        <is>
          <t>Cost of Sales - Products</t>
        </is>
      </c>
      <c r="B5" s="30" t="n">
        <v>-14000</v>
      </c>
      <c r="C5" s="30" t="n">
        <v>-13200</v>
      </c>
      <c r="D5" s="30" t="n">
        <v>-13500</v>
      </c>
      <c r="E5" s="30" t="n">
        <v>-14500</v>
      </c>
      <c r="F5" s="30" t="n">
        <v>-14200</v>
      </c>
      <c r="G5" s="30" t="n">
        <v>-13900</v>
      </c>
      <c r="H5" s="30" t="n">
        <v>-13600</v>
      </c>
      <c r="I5" s="30" t="n">
        <v>-13750</v>
      </c>
      <c r="J5" s="30" t="n">
        <v>-14400</v>
      </c>
      <c r="K5" s="30" t="n">
        <v>-14900</v>
      </c>
      <c r="L5" s="30" t="n">
        <v>-15400</v>
      </c>
      <c r="M5" s="30" t="n">
        <v>-15960</v>
      </c>
      <c r="N5" s="30">
        <f>SUM(B5:M5)</f>
        <v/>
      </c>
      <c r="O5" s="12" t="n"/>
      <c r="P5" s="12" t="inlineStr">
        <is>
          <t>E4 formula =E2+E2</t>
        </is>
      </c>
      <c r="Q5" s="12" t="inlineStr">
        <is>
          <t>formula_inconsistency_in_row</t>
        </is>
      </c>
      <c r="R5" s="12" t="inlineStr">
        <is>
          <t>Total Net Sales formula inconsistency</t>
        </is>
      </c>
    </row>
    <row r="6">
      <c r="A6" s="17" t="inlineStr">
        <is>
          <t>Cost of Sales - Services</t>
        </is>
      </c>
      <c r="B6" s="30" t="n">
        <v>-2300</v>
      </c>
      <c r="C6" s="30" t="n">
        <v>-2350</v>
      </c>
      <c r="D6" s="30" t="n">
        <v>-2380</v>
      </c>
      <c r="E6" s="30" t="n">
        <v>-2400</v>
      </c>
      <c r="F6" s="30" t="n">
        <v>-2420</v>
      </c>
      <c r="G6" s="30" t="n">
        <v>-2450</v>
      </c>
      <c r="H6" s="30" t="n">
        <v>-2480</v>
      </c>
      <c r="I6" s="30" t="n">
        <v>-2500</v>
      </c>
      <c r="J6" s="30" t="n">
        <v>-2520</v>
      </c>
      <c r="K6" s="30" t="n">
        <v>-2550</v>
      </c>
      <c r="L6" s="30" t="n">
        <v>-2580</v>
      </c>
      <c r="M6" s="30" t="n">
        <v>-2630</v>
      </c>
      <c r="N6" s="30">
        <f>SUM(B6:M6)</f>
        <v/>
      </c>
      <c r="O6" s="12" t="n"/>
      <c r="P6" s="12" t="inlineStr">
        <is>
          <t>K12 formula =K4+K11</t>
        </is>
      </c>
      <c r="Q6" s="12" t="inlineStr">
        <is>
          <t>formula_inconsistency_in_row</t>
        </is>
      </c>
      <c r="R6" s="12" t="inlineStr">
        <is>
          <t>Operating Income formula inconsistency</t>
        </is>
      </c>
    </row>
    <row r="7">
      <c r="A7" s="17" t="inlineStr">
        <is>
          <t>Total Cost of Sales</t>
        </is>
      </c>
      <c r="B7" s="30">
        <f>B5+B6</f>
        <v/>
      </c>
      <c r="C7" s="30">
        <f>C5+C6</f>
        <v/>
      </c>
      <c r="D7" s="30">
        <f>D5+D6</f>
        <v/>
      </c>
      <c r="E7" s="30">
        <f>E5+E6</f>
        <v/>
      </c>
      <c r="F7" s="30">
        <f>F5+F6</f>
        <v/>
      </c>
      <c r="G7" s="30">
        <f>G5+G6</f>
        <v/>
      </c>
      <c r="H7" s="30">
        <f>H5+H6</f>
        <v/>
      </c>
      <c r="I7" s="30">
        <f>I5+I6</f>
        <v/>
      </c>
      <c r="J7" s="30">
        <f>J5+J6</f>
        <v/>
      </c>
      <c r="K7" s="30">
        <f>K5+K6</f>
        <v/>
      </c>
      <c r="L7" s="30">
        <f>L5+L6</f>
        <v/>
      </c>
      <c r="M7" s="30">
        <f>M5+M6</f>
        <v/>
      </c>
      <c r="N7" s="30">
        <f>SUM(B7:M7)</f>
        <v/>
      </c>
      <c r="O7" s="12" t="n"/>
      <c r="P7" s="12" t="inlineStr">
        <is>
          <t>OPEX Detail F9 omits F8</t>
        </is>
      </c>
      <c r="Q7" s="12" t="inlineStr">
        <is>
          <t>future_total_mismatch</t>
        </is>
      </c>
      <c r="R7" s="12" t="inlineStr">
        <is>
          <t>Subtotal mismatch for future total/subtotal rule</t>
        </is>
      </c>
    </row>
    <row r="8">
      <c r="A8" s="17" t="inlineStr">
        <is>
          <t>Gross Margin</t>
        </is>
      </c>
      <c r="B8" s="30">
        <f>B4+B7</f>
        <v/>
      </c>
      <c r="C8" s="30">
        <f>C4+C7</f>
        <v/>
      </c>
      <c r="D8" s="31" t="n">
        <v>15500</v>
      </c>
      <c r="E8" s="30">
        <f>E4+E7</f>
        <v/>
      </c>
      <c r="F8" s="30">
        <f>F4+F7</f>
        <v/>
      </c>
      <c r="G8" s="30">
        <f>G4+G7</f>
        <v/>
      </c>
      <c r="H8" s="30">
        <f>H4+H7</f>
        <v/>
      </c>
      <c r="I8" s="30">
        <f>I4+I7</f>
        <v/>
      </c>
      <c r="J8" s="30">
        <f>J4+J7</f>
        <v/>
      </c>
      <c r="K8" s="30">
        <f>K4+K7</f>
        <v/>
      </c>
      <c r="L8" s="30">
        <f>L4+L7</f>
        <v/>
      </c>
      <c r="M8" s="30">
        <f>M4+M7</f>
        <v/>
      </c>
      <c r="N8" s="30">
        <f>SUM(B8:M8)</f>
        <v/>
      </c>
      <c r="O8" s="12" t="n"/>
      <c r="P8" s="12" t="n"/>
      <c r="Q8" s="12" t="n"/>
      <c r="R8" s="12" t="n"/>
    </row>
    <row r="9">
      <c r="A9" s="17" t="inlineStr">
        <is>
          <t>Research &amp; Development</t>
        </is>
      </c>
      <c r="B9" s="30" t="n">
        <v>-2600</v>
      </c>
      <c r="C9" s="30" t="n">
        <v>-2700</v>
      </c>
      <c r="D9" s="30" t="n">
        <v>-2750</v>
      </c>
      <c r="E9" s="30" t="n">
        <v>-2800</v>
      </c>
      <c r="F9" s="30" t="n">
        <v>-2850</v>
      </c>
      <c r="G9" s="32" t="n"/>
      <c r="H9" s="30" t="n">
        <v>-2950</v>
      </c>
      <c r="I9" s="30" t="n">
        <v>-3000</v>
      </c>
      <c r="J9" s="30" t="n">
        <v>-3050</v>
      </c>
      <c r="K9" s="30" t="n">
        <v>-3100</v>
      </c>
      <c r="L9" s="30" t="n">
        <v>-3150</v>
      </c>
      <c r="M9" s="30" t="n">
        <v>-3200</v>
      </c>
      <c r="N9" s="30">
        <f>SUM(B9:M9)</f>
        <v/>
      </c>
      <c r="O9" s="12" t="n"/>
      <c r="P9" s="12" t="n"/>
      <c r="Q9" s="12" t="n"/>
      <c r="R9" s="12" t="n"/>
    </row>
    <row r="10">
      <c r="A10" s="17" t="inlineStr">
        <is>
          <t>Selling, General &amp; Administrative</t>
        </is>
      </c>
      <c r="B10" s="30" t="n">
        <v>-2100</v>
      </c>
      <c r="C10" s="30" t="n">
        <v>-2150</v>
      </c>
      <c r="D10" s="30" t="n">
        <v>-2200</v>
      </c>
      <c r="E10" s="30" t="n">
        <v>-2250</v>
      </c>
      <c r="F10" s="30" t="n">
        <v>-2300</v>
      </c>
      <c r="G10" s="30" t="n">
        <v>-2350</v>
      </c>
      <c r="H10" s="30" t="n">
        <v>-2400</v>
      </c>
      <c r="I10" s="30" t="n">
        <v>-2450</v>
      </c>
      <c r="J10" s="31" t="n">
        <v>-5200</v>
      </c>
      <c r="K10" s="31" t="n">
        <v>-2550</v>
      </c>
      <c r="L10" s="30" t="n">
        <v>-2600</v>
      </c>
      <c r="M10" s="30" t="n">
        <v>-2650</v>
      </c>
      <c r="N10" s="30">
        <f>SUM(B10:M10)</f>
        <v/>
      </c>
      <c r="O10" s="12" t="n"/>
      <c r="P10" s="12" t="n"/>
      <c r="Q10" s="12" t="n"/>
      <c r="R10" s="12" t="n"/>
    </row>
    <row r="11">
      <c r="A11" s="17" t="inlineStr">
        <is>
          <t>Total Operating Expenses</t>
        </is>
      </c>
      <c r="B11" s="30">
        <f>B9+B10</f>
        <v/>
      </c>
      <c r="C11" s="30">
        <f>C9+C10</f>
        <v/>
      </c>
      <c r="D11" s="30">
        <f>D9+D10</f>
        <v/>
      </c>
      <c r="E11" s="30">
        <f>E9+E10</f>
        <v/>
      </c>
      <c r="F11" s="30">
        <f>F9+F10</f>
        <v/>
      </c>
      <c r="G11" s="30">
        <f>G9+G10</f>
        <v/>
      </c>
      <c r="H11" s="30">
        <f>H9+H10</f>
        <v/>
      </c>
      <c r="I11" s="30">
        <f>I9+I10</f>
        <v/>
      </c>
      <c r="J11" s="30">
        <f>J9+J10</f>
        <v/>
      </c>
      <c r="K11" s="30">
        <f>K9+K10</f>
        <v/>
      </c>
      <c r="L11" s="30">
        <f>L9+L10</f>
        <v/>
      </c>
      <c r="M11" s="30">
        <f>M9+M10</f>
        <v/>
      </c>
      <c r="N11" s="30">
        <f>SUM(B11:M11)</f>
        <v/>
      </c>
      <c r="O11" s="12" t="n"/>
      <c r="P11" s="12" t="n"/>
      <c r="Q11" s="12" t="n"/>
      <c r="R11" s="12" t="n"/>
    </row>
    <row r="12">
      <c r="A12" s="17" t="inlineStr">
        <is>
          <t>Operating Income</t>
        </is>
      </c>
      <c r="B12" s="30">
        <f>B8+B11</f>
        <v/>
      </c>
      <c r="C12" s="30">
        <f>C8+C11</f>
        <v/>
      </c>
      <c r="D12" s="30">
        <f>D8+D11</f>
        <v/>
      </c>
      <c r="E12" s="30">
        <f>E8+E11</f>
        <v/>
      </c>
      <c r="F12" s="30">
        <f>F8+F11</f>
        <v/>
      </c>
      <c r="G12" s="30">
        <f>G8+G11</f>
        <v/>
      </c>
      <c r="H12" s="30">
        <f>H8+H11</f>
        <v/>
      </c>
      <c r="I12" s="30">
        <f>I8+I11</f>
        <v/>
      </c>
      <c r="J12" s="30">
        <f>J8+J11</f>
        <v/>
      </c>
      <c r="K12" s="31">
        <f>K4+K11</f>
        <v/>
      </c>
      <c r="L12" s="30">
        <f>L8+L11</f>
        <v/>
      </c>
      <c r="M12" s="30">
        <f>M8+M11</f>
        <v/>
      </c>
      <c r="N12" s="30">
        <f>SUM(B12:M12)</f>
        <v/>
      </c>
      <c r="O12" s="12" t="n"/>
      <c r="P12" s="12" t="n"/>
      <c r="Q12" s="12" t="n"/>
      <c r="R12" s="12" t="n"/>
    </row>
    <row r="13">
      <c r="A13" s="17" t="inlineStr">
        <is>
          <t>Other Income/(Expense), Net</t>
        </is>
      </c>
      <c r="B13" s="30" t="n">
        <v>50</v>
      </c>
      <c r="C13" s="30" t="n">
        <v>40</v>
      </c>
      <c r="D13" s="30" t="n">
        <v>-20</v>
      </c>
      <c r="E13" s="30" t="n">
        <v>30</v>
      </c>
      <c r="F13" s="30" t="n">
        <v>25</v>
      </c>
      <c r="G13" s="30" t="n">
        <v>10</v>
      </c>
      <c r="H13" s="30" t="n">
        <v>-15</v>
      </c>
      <c r="I13" s="30" t="n">
        <v>20</v>
      </c>
      <c r="J13" s="30" t="n">
        <v>35</v>
      </c>
      <c r="K13" s="30" t="n">
        <v>45</v>
      </c>
      <c r="L13" s="30" t="n">
        <v>40</v>
      </c>
      <c r="M13" s="30" t="n">
        <v>69</v>
      </c>
      <c r="N13" s="30">
        <f>SUM(B13:M13)</f>
        <v/>
      </c>
      <c r="O13" s="12" t="n"/>
      <c r="P13" s="12" t="n"/>
      <c r="Q13" s="12" t="n"/>
      <c r="R13" s="12" t="n"/>
    </row>
    <row r="14">
      <c r="A14" s="17" t="inlineStr">
        <is>
          <t>Income Before Tax</t>
        </is>
      </c>
      <c r="B14" s="30">
        <f>B12+B13</f>
        <v/>
      </c>
      <c r="C14" s="30">
        <f>C12+C13</f>
        <v/>
      </c>
      <c r="D14" s="30">
        <f>D12+D13</f>
        <v/>
      </c>
      <c r="E14" s="30">
        <f>E12+E13</f>
        <v/>
      </c>
      <c r="F14" s="30">
        <f>F12+F13</f>
        <v/>
      </c>
      <c r="G14" s="30">
        <f>G12+G13</f>
        <v/>
      </c>
      <c r="H14" s="30">
        <f>H12+H13</f>
        <v/>
      </c>
      <c r="I14" s="30">
        <f>I12+I13</f>
        <v/>
      </c>
      <c r="J14" s="30">
        <f>J12+J13</f>
        <v/>
      </c>
      <c r="K14" s="30">
        <f>K12+K13</f>
        <v/>
      </c>
      <c r="L14" s="30">
        <f>L12+L13</f>
        <v/>
      </c>
      <c r="M14" s="30">
        <f>M12+M13</f>
        <v/>
      </c>
      <c r="N14" s="30">
        <f>SUM(B14:M14)</f>
        <v/>
      </c>
      <c r="O14" s="12" t="n"/>
      <c r="P14" s="12" t="n"/>
      <c r="Q14" s="12" t="n"/>
      <c r="R14" s="12" t="n"/>
    </row>
    <row r="15">
      <c r="A15" s="17" t="inlineStr">
        <is>
          <t>Provision for Income Taxes</t>
        </is>
      </c>
      <c r="B15" s="30">
        <f>-B14*0.22</f>
        <v/>
      </c>
      <c r="C15" s="30">
        <f>-C14*0.22</f>
        <v/>
      </c>
      <c r="D15" s="30">
        <f>-D14*0.22</f>
        <v/>
      </c>
      <c r="E15" s="30">
        <f>-E14*0.22</f>
        <v/>
      </c>
      <c r="F15" s="30">
        <f>-F14*0.22</f>
        <v/>
      </c>
      <c r="G15" s="30">
        <f>-G14*0.22</f>
        <v/>
      </c>
      <c r="H15" s="30">
        <f>-H14*0.22</f>
        <v/>
      </c>
      <c r="I15" s="30">
        <f>-I14*0.22</f>
        <v/>
      </c>
      <c r="J15" s="30">
        <f>-J14*0.22</f>
        <v/>
      </c>
      <c r="K15" s="30">
        <f>-K14*0.22</f>
        <v/>
      </c>
      <c r="L15" s="30">
        <f>-L14*0.22</f>
        <v/>
      </c>
      <c r="M15" s="30">
        <f>-M14*0.22</f>
        <v/>
      </c>
      <c r="N15" s="30">
        <f>SUM(B15:M15)</f>
        <v/>
      </c>
      <c r="O15" s="12" t="n"/>
      <c r="P15" s="12" t="n"/>
      <c r="Q15" s="12" t="n"/>
      <c r="R15" s="12" t="n"/>
    </row>
    <row r="16">
      <c r="A16" s="17" t="inlineStr">
        <is>
          <t>Net Income</t>
        </is>
      </c>
      <c r="B16" s="30">
        <f>B14+B15</f>
        <v/>
      </c>
      <c r="C16" s="30">
        <f>C14+C15</f>
        <v/>
      </c>
      <c r="D16" s="30">
        <f>D14+D15</f>
        <v/>
      </c>
      <c r="E16" s="30">
        <f>E14+E15</f>
        <v/>
      </c>
      <c r="F16" s="30">
        <f>F14+F15</f>
        <v/>
      </c>
      <c r="G16" s="30">
        <f>G14+G15</f>
        <v/>
      </c>
      <c r="H16" s="30">
        <f>H14+H15</f>
        <v/>
      </c>
      <c r="I16" s="30">
        <f>I14+I15</f>
        <v/>
      </c>
      <c r="J16" s="30">
        <f>J14+J15</f>
        <v/>
      </c>
      <c r="K16" s="30">
        <f>K14+K15</f>
        <v/>
      </c>
      <c r="L16" s="30">
        <f>L14+L15</f>
        <v/>
      </c>
      <c r="M16" s="30">
        <f>M14+M15</f>
        <v/>
      </c>
      <c r="N16" s="30">
        <f>SUM(B16:M16)</f>
        <v/>
      </c>
      <c r="O16" s="12" t="n"/>
      <c r="P16" s="12" t="n"/>
      <c r="Q16" s="12" t="n"/>
      <c r="R16" s="12" t="n"/>
    </row>
    <row r="17">
      <c r="A17" s="17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12" t="n"/>
      <c r="P17" s="12" t="n"/>
      <c r="Q17" s="12" t="n"/>
      <c r="R17" s="12" t="n"/>
    </row>
    <row r="18">
      <c r="A18" s="17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12" t="n"/>
      <c r="P18" s="12" t="n"/>
      <c r="Q18" s="12" t="n"/>
      <c r="R18" s="12" t="n"/>
    </row>
    <row r="19">
      <c r="A19" s="17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12" t="n"/>
      <c r="P19" s="12" t="n"/>
      <c r="Q19" s="12" t="n"/>
      <c r="R19" s="12" t="n"/>
    </row>
    <row r="20">
      <c r="A20" s="17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12" t="n"/>
      <c r="P20" s="12" t="n"/>
      <c r="Q20" s="12" t="n"/>
      <c r="R20" s="12" t="n"/>
    </row>
    <row r="21">
      <c r="A21" s="17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12" t="n"/>
      <c r="P21" s="12" t="n"/>
      <c r="Q21" s="12" t="n"/>
      <c r="R21" s="12" t="n"/>
    </row>
    <row r="22">
      <c r="A22" s="17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12" t="n"/>
      <c r="P22" s="12" t="n"/>
      <c r="Q22" s="12" t="n"/>
      <c r="R22" s="12" t="n"/>
    </row>
    <row r="23">
      <c r="A23" s="17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12" t="n"/>
      <c r="P23" s="12" t="n"/>
      <c r="Q23" s="12" t="n"/>
      <c r="R23" s="12" t="n"/>
    </row>
    <row r="24">
      <c r="A24" s="17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12" t="n"/>
      <c r="P24" s="12" t="n"/>
      <c r="Q24" s="12" t="n"/>
      <c r="R24" s="12" t="n"/>
    </row>
    <row r="25">
      <c r="A25" s="17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12" t="n"/>
      <c r="P25" s="12" t="n"/>
      <c r="Q25" s="12" t="n"/>
      <c r="R25" s="12" t="n"/>
    </row>
    <row r="26">
      <c r="A26" s="17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12" t="n"/>
      <c r="P26" s="12" t="n"/>
      <c r="Q26" s="12" t="n"/>
      <c r="R26" s="12" t="n"/>
    </row>
    <row r="27">
      <c r="A27" s="17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12" t="n"/>
      <c r="P27" s="12" t="n"/>
      <c r="Q27" s="12" t="n"/>
      <c r="R27" s="12" t="n"/>
    </row>
    <row r="28">
      <c r="A28" s="17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12" t="n"/>
      <c r="P28" s="12" t="n"/>
      <c r="Q28" s="12" t="n"/>
      <c r="R28" s="12" t="n"/>
    </row>
    <row r="29">
      <c r="A29" s="17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12" t="n"/>
      <c r="P29" s="12" t="n"/>
      <c r="Q29" s="12" t="n"/>
      <c r="R29" s="12" t="n"/>
    </row>
    <row r="30">
      <c r="A30" s="17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12" t="n"/>
      <c r="P30" s="12" t="n"/>
      <c r="Q30" s="12" t="n"/>
      <c r="R30" s="12" t="n"/>
    </row>
    <row r="31">
      <c r="A31" s="17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12" t="n"/>
      <c r="P31" s="12" t="n"/>
      <c r="Q31" s="12" t="n"/>
      <c r="R31" s="12" t="n"/>
    </row>
    <row r="32">
      <c r="A32" s="17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12" t="n"/>
      <c r="P32" s="12" t="n"/>
      <c r="Q32" s="12" t="n"/>
      <c r="R32" s="12" t="n"/>
    </row>
    <row r="33">
      <c r="A33" s="17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12" t="n"/>
      <c r="P33" s="12" t="n"/>
      <c r="Q33" s="12" t="n"/>
      <c r="R33" s="12" t="n"/>
    </row>
    <row r="34">
      <c r="A34" s="17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12" t="n"/>
      <c r="P34" s="12" t="n"/>
      <c r="Q34" s="12" t="n"/>
      <c r="R34" s="12" t="n"/>
    </row>
    <row r="35">
      <c r="A35" s="17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12" t="n"/>
      <c r="P35" s="12" t="n"/>
      <c r="Q35" s="12" t="n"/>
      <c r="R35" s="12" t="n"/>
    </row>
    <row r="36">
      <c r="A36" s="17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12" t="n"/>
      <c r="P36" s="12" t="n"/>
      <c r="Q36" s="12" t="n"/>
      <c r="R36" s="12" t="n"/>
    </row>
    <row r="37">
      <c r="A37" s="17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12" t="n"/>
      <c r="P37" s="12" t="n"/>
      <c r="Q37" s="12" t="n"/>
      <c r="R37" s="12" t="n"/>
    </row>
    <row r="38">
      <c r="A38" s="17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12" t="n"/>
      <c r="P38" s="12" t="n"/>
      <c r="Q38" s="12" t="n"/>
      <c r="R38" s="12" t="n"/>
    </row>
    <row r="39">
      <c r="A39" s="17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12" t="n"/>
      <c r="P39" s="12" t="n"/>
      <c r="Q39" s="12" t="n"/>
      <c r="R39" s="12" t="n"/>
    </row>
    <row r="40">
      <c r="A40" s="17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12" t="n"/>
      <c r="P40" s="12" t="n"/>
      <c r="Q40" s="12" t="n"/>
      <c r="R40" s="12" t="n"/>
    </row>
    <row r="41">
      <c r="A41" s="17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12" t="n"/>
      <c r="P41" s="12" t="n"/>
      <c r="Q41" s="12" t="n"/>
      <c r="R41" s="12" t="n"/>
    </row>
    <row r="42">
      <c r="A42" s="17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12" t="n"/>
      <c r="P42" s="12" t="n"/>
      <c r="Q42" s="12" t="n"/>
      <c r="R42" s="12" t="n"/>
    </row>
    <row r="43">
      <c r="A43" s="17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12" t="n"/>
      <c r="P43" s="12" t="n"/>
      <c r="Q43" s="12" t="n"/>
      <c r="R43" s="12" t="n"/>
    </row>
    <row r="44">
      <c r="A44" s="17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12" t="n"/>
      <c r="P44" s="12" t="n"/>
      <c r="Q44" s="12" t="n"/>
      <c r="R44" s="12" t="n"/>
    </row>
    <row r="45">
      <c r="A45" s="17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12" t="n"/>
      <c r="P45" s="12" t="n"/>
      <c r="Q45" s="12" t="n"/>
      <c r="R45" s="12" t="n"/>
    </row>
    <row r="46">
      <c r="A46" s="17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12" t="n"/>
      <c r="P46" s="12" t="n"/>
      <c r="Q46" s="12" t="n"/>
      <c r="R46" s="12" t="n"/>
    </row>
    <row r="47">
      <c r="A47" s="17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12" t="n"/>
      <c r="P47" s="12" t="n"/>
      <c r="Q47" s="12" t="n"/>
      <c r="R47" s="12" t="n"/>
    </row>
    <row r="48">
      <c r="A48" s="17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12" t="n"/>
      <c r="P48" s="12" t="n"/>
      <c r="Q48" s="12" t="n"/>
      <c r="R48" s="12" t="n"/>
    </row>
    <row r="49">
      <c r="A49" s="17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12" t="n"/>
      <c r="P49" s="12" t="n"/>
      <c r="Q49" s="12" t="n"/>
      <c r="R49" s="12" t="n"/>
    </row>
    <row r="50">
      <c r="A50" s="17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12" t="n"/>
      <c r="P50" s="12" t="n"/>
      <c r="Q50" s="12" t="n"/>
      <c r="R50" s="12" t="n"/>
    </row>
    <row r="51">
      <c r="A51" s="17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12" t="n"/>
      <c r="P51" s="12" t="n"/>
      <c r="Q51" s="12" t="n"/>
      <c r="R51" s="12" t="n"/>
    </row>
    <row r="52">
      <c r="A52" s="17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12" t="n"/>
      <c r="P52" s="12" t="n"/>
      <c r="Q52" s="12" t="n"/>
      <c r="R52" s="12" t="n"/>
    </row>
    <row r="53">
      <c r="A53" s="17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12" t="n"/>
      <c r="P53" s="12" t="n"/>
      <c r="Q53" s="12" t="n"/>
      <c r="R53" s="12" t="n"/>
    </row>
    <row r="54">
      <c r="A54" s="17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12" t="n"/>
      <c r="P54" s="12" t="n"/>
      <c r="Q54" s="12" t="n"/>
      <c r="R54" s="12" t="n"/>
    </row>
    <row r="55">
      <c r="A55" s="17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12" t="n"/>
      <c r="P55" s="12" t="n"/>
      <c r="Q55" s="12" t="n"/>
      <c r="R55" s="12" t="n"/>
    </row>
    <row r="56">
      <c r="A56" s="17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12" t="n"/>
      <c r="P56" s="12" t="n"/>
      <c r="Q56" s="12" t="n"/>
      <c r="R56" s="12" t="n"/>
    </row>
    <row r="57">
      <c r="A57" s="17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12" t="n"/>
      <c r="P57" s="12" t="n"/>
      <c r="Q57" s="12" t="n"/>
      <c r="R57" s="12" t="n"/>
    </row>
    <row r="58">
      <c r="A58" s="17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12" t="n"/>
      <c r="P58" s="12" t="n"/>
      <c r="Q58" s="12" t="n"/>
      <c r="R58" s="12" t="n"/>
    </row>
    <row r="59">
      <c r="A59" s="17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12" t="n"/>
      <c r="P59" s="12" t="n"/>
      <c r="Q59" s="12" t="n"/>
      <c r="R59" s="12" t="n"/>
    </row>
    <row r="60">
      <c r="A60" s="17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12" t="n"/>
      <c r="P60" s="12" t="n"/>
      <c r="Q60" s="12" t="n"/>
      <c r="R60" s="12" t="n"/>
    </row>
    <row r="61">
      <c r="A61" s="17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12" t="n"/>
      <c r="P61" s="12" t="n"/>
      <c r="Q61" s="12" t="n"/>
      <c r="R61" s="12" t="n"/>
    </row>
    <row r="62">
      <c r="A62" s="17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12" t="n"/>
      <c r="P62" s="12" t="n"/>
      <c r="Q62" s="12" t="n"/>
      <c r="R62" s="12" t="n"/>
    </row>
    <row r="63">
      <c r="A63" s="17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12" t="n"/>
      <c r="P63" s="12" t="n"/>
      <c r="Q63" s="12" t="n"/>
      <c r="R63" s="12" t="n"/>
    </row>
    <row r="64">
      <c r="A64" s="17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12" t="n"/>
      <c r="P64" s="12" t="n"/>
      <c r="Q64" s="12" t="n"/>
      <c r="R64" s="12" t="n"/>
    </row>
    <row r="65">
      <c r="A65" s="17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12" t="n"/>
      <c r="P65" s="12" t="n"/>
      <c r="Q65" s="12" t="n"/>
      <c r="R65" s="12" t="n"/>
    </row>
    <row r="66">
      <c r="A66" s="17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12" t="n"/>
      <c r="P66" s="12" t="n"/>
      <c r="Q66" s="12" t="n"/>
      <c r="R66" s="12" t="n"/>
    </row>
    <row r="67">
      <c r="A67" s="17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12" t="n"/>
      <c r="P67" s="12" t="n"/>
      <c r="Q67" s="12" t="n"/>
      <c r="R67" s="12" t="n"/>
    </row>
    <row r="68">
      <c r="A68" s="17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12" t="n"/>
      <c r="P68" s="12" t="n"/>
      <c r="Q68" s="12" t="n"/>
      <c r="R68" s="12" t="n"/>
    </row>
    <row r="69">
      <c r="A69" s="17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12" t="n"/>
      <c r="P69" s="12" t="n"/>
      <c r="Q69" s="12" t="n"/>
      <c r="R69" s="12" t="n"/>
    </row>
    <row r="70">
      <c r="A70" s="17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12" t="n"/>
      <c r="P70" s="12" t="n"/>
      <c r="Q70" s="12" t="n"/>
      <c r="R70" s="12" t="n"/>
    </row>
    <row r="71">
      <c r="A71" s="17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12" t="n"/>
      <c r="P71" s="12" t="n"/>
      <c r="Q71" s="12" t="n"/>
      <c r="R71" s="12" t="n"/>
    </row>
    <row r="72">
      <c r="A72" s="17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12" t="n"/>
      <c r="P72" s="12" t="n"/>
      <c r="Q72" s="12" t="n"/>
      <c r="R72" s="12" t="n"/>
    </row>
    <row r="73">
      <c r="A73" s="17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12" t="n"/>
      <c r="P73" s="12" t="n"/>
      <c r="Q73" s="12" t="n"/>
      <c r="R73" s="12" t="n"/>
    </row>
    <row r="74">
      <c r="A74" s="17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12" t="n"/>
      <c r="P74" s="12" t="n"/>
      <c r="Q74" s="12" t="n"/>
      <c r="R74" s="12" t="n"/>
    </row>
    <row r="75">
      <c r="A75" s="17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12" t="n"/>
      <c r="P75" s="12" t="n"/>
      <c r="Q75" s="12" t="n"/>
      <c r="R75" s="12" t="n"/>
    </row>
    <row r="76">
      <c r="A76" s="17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12" t="n"/>
      <c r="P76" s="12" t="n"/>
      <c r="Q76" s="12" t="n"/>
      <c r="R76" s="12" t="n"/>
    </row>
    <row r="77">
      <c r="A77" s="17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12" t="n"/>
      <c r="P77" s="12" t="n"/>
      <c r="Q77" s="12" t="n"/>
      <c r="R77" s="12" t="n"/>
    </row>
    <row r="78">
      <c r="A78" s="17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12" t="n"/>
      <c r="P78" s="12" t="n"/>
      <c r="Q78" s="12" t="n"/>
      <c r="R78" s="12" t="n"/>
    </row>
    <row r="79">
      <c r="A79" s="17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12" t="n"/>
      <c r="P79" s="12" t="n"/>
      <c r="Q79" s="12" t="n"/>
      <c r="R79" s="12" t="n"/>
    </row>
    <row r="80">
      <c r="A80" s="17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12" t="n"/>
      <c r="P80" s="12" t="n"/>
      <c r="Q80" s="12" t="n"/>
      <c r="R80" s="12" t="n"/>
    </row>
    <row r="81">
      <c r="A81" s="17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12" t="n"/>
      <c r="P81" s="12" t="n"/>
      <c r="Q81" s="12" t="n"/>
      <c r="R81" s="12" t="n"/>
    </row>
    <row r="82">
      <c r="A82" s="17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12" t="n"/>
      <c r="P82" s="12" t="n"/>
      <c r="Q82" s="12" t="n"/>
      <c r="R82" s="12" t="n"/>
    </row>
    <row r="83">
      <c r="A83" s="17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12" t="n"/>
      <c r="P83" s="12" t="n"/>
      <c r="Q83" s="12" t="n"/>
      <c r="R83" s="12" t="n"/>
    </row>
    <row r="84">
      <c r="A84" s="17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12" t="n"/>
      <c r="P84" s="12" t="n"/>
      <c r="Q84" s="12" t="n"/>
      <c r="R84" s="12" t="n"/>
    </row>
    <row r="85">
      <c r="A85" s="17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12" t="n"/>
      <c r="P85" s="12" t="n"/>
      <c r="Q85" s="12" t="n"/>
      <c r="R85" s="12" t="n"/>
    </row>
    <row r="86">
      <c r="A86" s="17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12" t="n"/>
      <c r="P86" s="12" t="n"/>
      <c r="Q86" s="12" t="n"/>
      <c r="R86" s="12" t="n"/>
    </row>
    <row r="87">
      <c r="A87" s="17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12" t="n"/>
      <c r="P87" s="12" t="n"/>
      <c r="Q87" s="12" t="n"/>
      <c r="R87" s="12" t="n"/>
    </row>
    <row r="88">
      <c r="A88" s="17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12" t="n"/>
      <c r="P88" s="12" t="n"/>
      <c r="Q88" s="12" t="n"/>
      <c r="R88" s="12" t="n"/>
    </row>
    <row r="89">
      <c r="A89" s="17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12" t="n"/>
      <c r="P89" s="12" t="n"/>
      <c r="Q89" s="12" t="n"/>
      <c r="R89" s="12" t="n"/>
    </row>
    <row r="90">
      <c r="A90" s="17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12" t="n"/>
      <c r="P90" s="12" t="n"/>
      <c r="Q90" s="12" t="n"/>
      <c r="R90" s="12" t="n"/>
    </row>
    <row r="91">
      <c r="A91" s="17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12" t="n"/>
      <c r="P91" s="12" t="n"/>
      <c r="Q91" s="12" t="n"/>
      <c r="R91" s="12" t="n"/>
    </row>
    <row r="92">
      <c r="A92" s="17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12" t="n"/>
      <c r="P92" s="12" t="n"/>
      <c r="Q92" s="12" t="n"/>
      <c r="R92" s="12" t="n"/>
    </row>
    <row r="93">
      <c r="A93" s="17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12" t="n"/>
      <c r="P93" s="12" t="n"/>
      <c r="Q93" s="12" t="n"/>
      <c r="R93" s="12" t="n"/>
    </row>
    <row r="94">
      <c r="A94" s="17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12" t="n"/>
      <c r="P94" s="12" t="n"/>
      <c r="Q94" s="12" t="n"/>
      <c r="R94" s="12" t="n"/>
    </row>
    <row r="95">
      <c r="A95" s="17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12" t="n"/>
      <c r="P95" s="12" t="n"/>
      <c r="Q95" s="12" t="n"/>
      <c r="R95" s="12" t="n"/>
    </row>
    <row r="96">
      <c r="A96" s="17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12" t="n"/>
      <c r="P96" s="12" t="n"/>
      <c r="Q96" s="12" t="n"/>
      <c r="R96" s="12" t="n"/>
    </row>
    <row r="97">
      <c r="A97" s="17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12" t="n"/>
      <c r="P97" s="12" t="n"/>
      <c r="Q97" s="12" t="n"/>
      <c r="R97" s="12" t="n"/>
    </row>
    <row r="98">
      <c r="A98" s="17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12" t="n"/>
      <c r="P98" s="12" t="n"/>
      <c r="Q98" s="12" t="n"/>
      <c r="R98" s="12" t="n"/>
    </row>
    <row r="99">
      <c r="A99" s="17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12" t="n"/>
      <c r="P99" s="12" t="n"/>
      <c r="Q99" s="12" t="n"/>
      <c r="R99" s="12" t="n"/>
    </row>
    <row r="100">
      <c r="A100" s="17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12" t="n"/>
      <c r="P100" s="12" t="n"/>
      <c r="Q100" s="12" t="n"/>
      <c r="R100" s="12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6" max="16"/>
    <col width="12" customWidth="1" min="17" max="17"/>
    <col width="12" customWidth="1" min="18" max="18"/>
  </cols>
  <sheetData>
    <row r="1" ht="24" customHeight="1">
      <c r="A1" s="16" t="inlineStr">
        <is>
          <t>Metric</t>
        </is>
      </c>
      <c r="B1" s="16" t="inlineStr">
        <is>
          <t>Jan</t>
        </is>
      </c>
      <c r="C1" s="16" t="inlineStr">
        <is>
          <t>Feb</t>
        </is>
      </c>
      <c r="D1" s="16" t="inlineStr">
        <is>
          <t>Mar</t>
        </is>
      </c>
      <c r="E1" s="16" t="inlineStr">
        <is>
          <t>Apr</t>
        </is>
      </c>
      <c r="F1" s="16" t="inlineStr">
        <is>
          <t>May</t>
        </is>
      </c>
      <c r="G1" s="16" t="inlineStr">
        <is>
          <t>Jun</t>
        </is>
      </c>
      <c r="H1" s="16" t="inlineStr">
        <is>
          <t>Jul</t>
        </is>
      </c>
      <c r="I1" s="16" t="inlineStr">
        <is>
          <t>Aug</t>
        </is>
      </c>
      <c r="J1" s="16" t="inlineStr">
        <is>
          <t>Sep</t>
        </is>
      </c>
      <c r="K1" s="16" t="inlineStr">
        <is>
          <t>Oct</t>
        </is>
      </c>
      <c r="L1" s="16" t="inlineStr">
        <is>
          <t>Nov</t>
        </is>
      </c>
      <c r="M1" s="16" t="inlineStr">
        <is>
          <t>Dec</t>
        </is>
      </c>
      <c r="N1" s="16" t="inlineStr">
        <is>
          <t>FY Total</t>
        </is>
      </c>
      <c r="O1" s="12" t="n"/>
      <c r="P1" s="12" t="n"/>
      <c r="Q1" s="12" t="n"/>
      <c r="R1" s="12" t="n"/>
    </row>
    <row r="2">
      <c r="A2" s="17" t="inlineStr">
        <is>
          <t>Payroll</t>
        </is>
      </c>
      <c r="B2" s="30" t="n">
        <v>-900</v>
      </c>
      <c r="C2" s="30" t="n">
        <v>-920</v>
      </c>
      <c r="D2" s="30" t="n">
        <v>-930</v>
      </c>
      <c r="E2" s="30" t="n">
        <v>-940</v>
      </c>
      <c r="F2" s="30" t="n">
        <v>-950</v>
      </c>
      <c r="G2" s="30" t="n">
        <v>-960</v>
      </c>
      <c r="H2" s="30" t="n">
        <v>-970</v>
      </c>
      <c r="I2" s="30" t="n">
        <v>-980</v>
      </c>
      <c r="J2" s="30" t="n">
        <v>-990</v>
      </c>
      <c r="K2" s="30" t="n">
        <v>-1000</v>
      </c>
      <c r="L2" s="30" t="n">
        <v>-1010</v>
      </c>
      <c r="M2" s="30" t="n">
        <v>-1020</v>
      </c>
      <c r="N2" s="30">
        <f>SUM(B2:M2)</f>
        <v/>
      </c>
      <c r="O2" s="12" t="n"/>
      <c r="P2" s="12" t="n"/>
      <c r="Q2" s="12" t="n"/>
      <c r="R2" s="12" t="n"/>
    </row>
    <row r="3">
      <c r="A3" s="17" t="inlineStr">
        <is>
          <t>Marketing</t>
        </is>
      </c>
      <c r="B3" s="30" t="n">
        <v>-450</v>
      </c>
      <c r="C3" s="30" t="n">
        <v>-460</v>
      </c>
      <c r="D3" s="30" t="n">
        <v>-470</v>
      </c>
      <c r="E3" s="30" t="n">
        <v>-480</v>
      </c>
      <c r="F3" s="30" t="n">
        <v>-490</v>
      </c>
      <c r="G3" s="30" t="n">
        <v>-500</v>
      </c>
      <c r="H3" s="30" t="n">
        <v>-510</v>
      </c>
      <c r="I3" s="30" t="n">
        <v>-520</v>
      </c>
      <c r="J3" s="30" t="n">
        <v>-530</v>
      </c>
      <c r="K3" s="30" t="n">
        <v>-540</v>
      </c>
      <c r="L3" s="30" t="n">
        <v>-550</v>
      </c>
      <c r="M3" s="30" t="n">
        <v>-560</v>
      </c>
      <c r="N3" s="30">
        <f>SUM(B3:M3)</f>
        <v/>
      </c>
      <c r="O3" s="12" t="n"/>
      <c r="P3" s="12" t="n"/>
      <c r="Q3" s="12" t="n"/>
      <c r="R3" s="12" t="n"/>
    </row>
    <row r="4">
      <c r="A4" s="17" t="inlineStr">
        <is>
          <t>IT &amp; Cloud</t>
        </is>
      </c>
      <c r="B4" s="30" t="n">
        <v>-220</v>
      </c>
      <c r="C4" s="30" t="n">
        <v>-225</v>
      </c>
      <c r="D4" s="30" t="n">
        <v>-230</v>
      </c>
      <c r="E4" s="30" t="n">
        <v>-235</v>
      </c>
      <c r="F4" s="30" t="n">
        <v>-240</v>
      </c>
      <c r="G4" s="30" t="n">
        <v>-245</v>
      </c>
      <c r="H4" s="30" t="n">
        <v>-250</v>
      </c>
      <c r="I4" s="30" t="n">
        <v>-255</v>
      </c>
      <c r="J4" s="30" t="n">
        <v>-260</v>
      </c>
      <c r="K4" s="30" t="n">
        <v>-265</v>
      </c>
      <c r="L4" s="30" t="n">
        <v>-270</v>
      </c>
      <c r="M4" s="30" t="n">
        <v>-275</v>
      </c>
      <c r="N4" s="30">
        <f>SUM(B4:M4)</f>
        <v/>
      </c>
      <c r="O4" s="12" t="n"/>
      <c r="P4" s="12" t="n"/>
      <c r="Q4" s="12" t="n"/>
      <c r="R4" s="12" t="n"/>
    </row>
    <row r="5">
      <c r="A5" s="17" t="inlineStr">
        <is>
          <t>Office &amp; Rent</t>
        </is>
      </c>
      <c r="B5" s="30" t="n">
        <v>-180</v>
      </c>
      <c r="C5" s="30" t="n">
        <v>-180</v>
      </c>
      <c r="D5" s="30" t="n">
        <v>-180</v>
      </c>
      <c r="E5" s="30" t="n">
        <v>-180</v>
      </c>
      <c r="F5" s="30" t="n">
        <v>-180</v>
      </c>
      <c r="G5" s="30" t="n">
        <v>-180</v>
      </c>
      <c r="H5" s="30" t="n">
        <v>-180</v>
      </c>
      <c r="I5" s="30" t="n">
        <v>-180</v>
      </c>
      <c r="J5" s="30" t="n">
        <v>-180</v>
      </c>
      <c r="K5" s="30" t="n">
        <v>-180</v>
      </c>
      <c r="L5" s="30" t="n">
        <v>-180</v>
      </c>
      <c r="M5" s="30" t="n">
        <v>-180</v>
      </c>
      <c r="N5" s="30">
        <f>SUM(B5:M5)</f>
        <v/>
      </c>
      <c r="O5" s="12" t="n"/>
      <c r="P5" s="12" t="n"/>
      <c r="Q5" s="12" t="n"/>
      <c r="R5" s="12" t="n"/>
    </row>
    <row r="6">
      <c r="A6" s="17" t="inlineStr">
        <is>
          <t>Professional Services</t>
        </is>
      </c>
      <c r="B6" s="30" t="n">
        <v>-210</v>
      </c>
      <c r="C6" s="30" t="n">
        <v>-220</v>
      </c>
      <c r="D6" s="30" t="n">
        <v>-230</v>
      </c>
      <c r="E6" s="30" t="n">
        <v>-240</v>
      </c>
      <c r="F6" s="30" t="n">
        <v>-250</v>
      </c>
      <c r="G6" s="30" t="n">
        <v>-260</v>
      </c>
      <c r="H6" s="30" t="n">
        <v>-270</v>
      </c>
      <c r="I6" s="30" t="n">
        <v>-280</v>
      </c>
      <c r="J6" s="30" t="n">
        <v>-290</v>
      </c>
      <c r="K6" s="30" t="n">
        <v>-300</v>
      </c>
      <c r="L6" s="30" t="n">
        <v>-310</v>
      </c>
      <c r="M6" s="30" t="n">
        <v>-320</v>
      </c>
      <c r="N6" s="30">
        <f>SUM(B6:M6)</f>
        <v/>
      </c>
      <c r="O6" s="12" t="n"/>
      <c r="P6" s="12" t="n"/>
      <c r="Q6" s="12" t="n"/>
      <c r="R6" s="12" t="n"/>
    </row>
    <row r="7">
      <c r="A7" s="17" t="inlineStr">
        <is>
          <t>Travel &amp; Events</t>
        </is>
      </c>
      <c r="B7" s="30" t="n">
        <v>-90</v>
      </c>
      <c r="C7" s="30" t="n">
        <v>-95</v>
      </c>
      <c r="D7" s="30" t="n">
        <v>-100</v>
      </c>
      <c r="E7" s="30" t="n">
        <v>-105</v>
      </c>
      <c r="F7" s="30" t="n">
        <v>-110</v>
      </c>
      <c r="G7" s="30" t="n">
        <v>-115</v>
      </c>
      <c r="H7" s="30" t="n">
        <v>-120</v>
      </c>
      <c r="I7" s="30" t="n">
        <v>-125</v>
      </c>
      <c r="J7" s="30" t="n">
        <v>-130</v>
      </c>
      <c r="K7" s="30" t="n">
        <v>-135</v>
      </c>
      <c r="L7" s="30" t="n">
        <v>-140</v>
      </c>
      <c r="M7" s="30" t="n">
        <v>-145</v>
      </c>
      <c r="N7" s="30">
        <f>SUM(B7:M7)</f>
        <v/>
      </c>
      <c r="O7" s="12" t="n"/>
      <c r="P7" s="12" t="n"/>
      <c r="Q7" s="12" t="n"/>
      <c r="R7" s="12" t="n"/>
    </row>
    <row r="8">
      <c r="A8" s="17" t="inlineStr">
        <is>
          <t>Other G&amp;A</t>
        </is>
      </c>
      <c r="B8" s="30" t="n">
        <v>-50</v>
      </c>
      <c r="C8" s="30" t="n">
        <v>-50</v>
      </c>
      <c r="D8" s="30" t="n">
        <v>-60</v>
      </c>
      <c r="E8" s="30" t="n">
        <v>-70</v>
      </c>
      <c r="F8" s="30" t="n">
        <v>-80</v>
      </c>
      <c r="G8" s="30" t="n">
        <v>-90</v>
      </c>
      <c r="H8" s="30" t="n">
        <v>-100</v>
      </c>
      <c r="I8" s="30" t="n">
        <v>-110</v>
      </c>
      <c r="J8" s="31" t="n">
        <v>-2820</v>
      </c>
      <c r="K8" s="31" t="n">
        <v>-130</v>
      </c>
      <c r="L8" s="30" t="n">
        <v>-140</v>
      </c>
      <c r="M8" s="30" t="n">
        <v>-150</v>
      </c>
      <c r="N8" s="30">
        <f>SUM(B8:M8)</f>
        <v/>
      </c>
      <c r="O8" s="12" t="n"/>
      <c r="P8" s="12" t="n"/>
      <c r="Q8" s="12" t="n"/>
      <c r="R8" s="12" t="n"/>
    </row>
    <row r="9">
      <c r="A9" s="17" t="inlineStr">
        <is>
          <t>Total OPEX Detail</t>
        </is>
      </c>
      <c r="B9" s="30">
        <f>SUM(B2:B8)</f>
        <v/>
      </c>
      <c r="C9" s="30">
        <f>SUM(C2:C8)</f>
        <v/>
      </c>
      <c r="D9" s="30">
        <f>SUM(D2:D8)</f>
        <v/>
      </c>
      <c r="E9" s="30">
        <f>SUM(E2:E8)</f>
        <v/>
      </c>
      <c r="F9" s="33">
        <f>SUM(F2:F7)</f>
        <v/>
      </c>
      <c r="G9" s="30">
        <f>SUM(G2:G8)</f>
        <v/>
      </c>
      <c r="H9" s="30">
        <f>SUM(H2:H8)</f>
        <v/>
      </c>
      <c r="I9" s="30">
        <f>SUM(I2:I8)</f>
        <v/>
      </c>
      <c r="J9" s="30">
        <f>SUM(J2:J8)</f>
        <v/>
      </c>
      <c r="K9" s="30">
        <f>SUM(K2:K8)</f>
        <v/>
      </c>
      <c r="L9" s="30">
        <f>SUM(L2:L8)</f>
        <v/>
      </c>
      <c r="M9" s="30">
        <f>SUM(M2:M8)</f>
        <v/>
      </c>
      <c r="N9" s="30">
        <f>SUM(B9:M9)</f>
        <v/>
      </c>
      <c r="O9" s="12" t="n"/>
      <c r="P9" s="12" t="n"/>
      <c r="Q9" s="12" t="n"/>
      <c r="R9" s="12" t="n"/>
    </row>
    <row r="10">
      <c r="A10" s="17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12" t="n"/>
      <c r="P10" s="12" t="n"/>
      <c r="Q10" s="12" t="n"/>
      <c r="R10" s="12" t="n"/>
    </row>
    <row r="11">
      <c r="A11" s="17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12" t="n"/>
      <c r="P11" s="12" t="n"/>
      <c r="Q11" s="12" t="n"/>
      <c r="R11" s="12" t="n"/>
    </row>
    <row r="12">
      <c r="A12" s="17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12" t="n"/>
      <c r="P12" s="12" t="n"/>
      <c r="Q12" s="12" t="n"/>
      <c r="R12" s="12" t="n"/>
    </row>
    <row r="13">
      <c r="A13" s="17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12" t="n"/>
      <c r="P13" s="12" t="n"/>
      <c r="Q13" s="12" t="n"/>
      <c r="R13" s="12" t="n"/>
    </row>
    <row r="14">
      <c r="A14" s="17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12" t="n"/>
      <c r="P14" s="12" t="n"/>
      <c r="Q14" s="12" t="n"/>
      <c r="R14" s="12" t="n"/>
    </row>
    <row r="15">
      <c r="A15" s="17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12" t="n"/>
      <c r="P15" s="12" t="n"/>
      <c r="Q15" s="12" t="n"/>
      <c r="R15" s="12" t="n"/>
    </row>
    <row r="16">
      <c r="A16" s="17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12" t="n"/>
      <c r="P16" s="12" t="n"/>
      <c r="Q16" s="12" t="n"/>
      <c r="R16" s="12" t="n"/>
    </row>
    <row r="17">
      <c r="A17" s="17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12" t="n"/>
      <c r="P17" s="12" t="n"/>
      <c r="Q17" s="12" t="n"/>
      <c r="R17" s="12" t="n"/>
    </row>
    <row r="18">
      <c r="A18" s="17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12" t="n"/>
      <c r="P18" s="12" t="n"/>
      <c r="Q18" s="12" t="n"/>
      <c r="R18" s="12" t="n"/>
    </row>
    <row r="19">
      <c r="A19" s="17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12" t="n"/>
      <c r="P19" s="12" t="n"/>
      <c r="Q19" s="12" t="n"/>
      <c r="R19" s="12" t="n"/>
    </row>
    <row r="20">
      <c r="A20" s="17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12" t="n"/>
      <c r="P20" s="12" t="n"/>
      <c r="Q20" s="12" t="n"/>
      <c r="R20" s="12" t="n"/>
    </row>
    <row r="21">
      <c r="A21" s="17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12" t="n"/>
      <c r="P21" s="12" t="n"/>
      <c r="Q21" s="12" t="n"/>
      <c r="R21" s="12" t="n"/>
    </row>
    <row r="22">
      <c r="A22" s="17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12" t="n"/>
      <c r="P22" s="12" t="n"/>
      <c r="Q22" s="12" t="n"/>
      <c r="R22" s="12" t="n"/>
    </row>
    <row r="23">
      <c r="A23" s="17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12" t="n"/>
      <c r="P23" s="12" t="n"/>
      <c r="Q23" s="12" t="n"/>
      <c r="R23" s="12" t="n"/>
    </row>
    <row r="24">
      <c r="A24" s="17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12" t="n"/>
      <c r="P24" s="12" t="n"/>
      <c r="Q24" s="12" t="n"/>
      <c r="R24" s="12" t="n"/>
    </row>
    <row r="25">
      <c r="A25" s="17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12" t="n"/>
      <c r="P25" s="12" t="n"/>
      <c r="Q25" s="12" t="n"/>
      <c r="R25" s="12" t="n"/>
    </row>
    <row r="26">
      <c r="A26" s="17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12" t="n"/>
      <c r="P26" s="12" t="n"/>
      <c r="Q26" s="12" t="n"/>
      <c r="R26" s="12" t="n"/>
    </row>
    <row r="27">
      <c r="A27" s="17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12" t="n"/>
      <c r="P27" s="12" t="n"/>
      <c r="Q27" s="12" t="n"/>
      <c r="R27" s="12" t="n"/>
    </row>
    <row r="28">
      <c r="A28" s="17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12" t="n"/>
      <c r="P28" s="12" t="n"/>
      <c r="Q28" s="12" t="n"/>
      <c r="R28" s="12" t="n"/>
    </row>
    <row r="29">
      <c r="A29" s="17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12" t="n"/>
      <c r="P29" s="12" t="n"/>
      <c r="Q29" s="12" t="n"/>
      <c r="R29" s="12" t="n"/>
    </row>
    <row r="30">
      <c r="A30" s="17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12" t="n"/>
      <c r="P30" s="12" t="n"/>
      <c r="Q30" s="12" t="n"/>
      <c r="R30" s="12" t="n"/>
    </row>
    <row r="31">
      <c r="A31" s="17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12" t="n"/>
      <c r="P31" s="12" t="n"/>
      <c r="Q31" s="12" t="n"/>
      <c r="R31" s="12" t="n"/>
    </row>
    <row r="32">
      <c r="A32" s="17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12" t="n"/>
      <c r="P32" s="12" t="n"/>
      <c r="Q32" s="12" t="n"/>
      <c r="R32" s="12" t="n"/>
    </row>
    <row r="33">
      <c r="A33" s="17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12" t="n"/>
      <c r="P33" s="12" t="n"/>
      <c r="Q33" s="12" t="n"/>
      <c r="R33" s="12" t="n"/>
    </row>
    <row r="34">
      <c r="A34" s="17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12" t="n"/>
      <c r="P34" s="12" t="n"/>
      <c r="Q34" s="12" t="n"/>
      <c r="R34" s="12" t="n"/>
    </row>
    <row r="35">
      <c r="A35" s="17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12" t="n"/>
      <c r="P35" s="12" t="n"/>
      <c r="Q35" s="12" t="n"/>
      <c r="R35" s="12" t="n"/>
    </row>
    <row r="36">
      <c r="A36" s="17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12" t="n"/>
      <c r="P36" s="12" t="n"/>
      <c r="Q36" s="12" t="n"/>
      <c r="R36" s="12" t="n"/>
    </row>
    <row r="37">
      <c r="A37" s="17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12" t="n"/>
      <c r="P37" s="12" t="n"/>
      <c r="Q37" s="12" t="n"/>
      <c r="R37" s="12" t="n"/>
    </row>
    <row r="38">
      <c r="A38" s="17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12" t="n"/>
      <c r="P38" s="12" t="n"/>
      <c r="Q38" s="12" t="n"/>
      <c r="R38" s="12" t="n"/>
    </row>
    <row r="39">
      <c r="A39" s="17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12" t="n"/>
      <c r="P39" s="12" t="n"/>
      <c r="Q39" s="12" t="n"/>
      <c r="R39" s="12" t="n"/>
    </row>
    <row r="40">
      <c r="A40" s="17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12" t="n"/>
      <c r="P40" s="12" t="n"/>
      <c r="Q40" s="12" t="n"/>
      <c r="R40" s="12" t="n"/>
    </row>
    <row r="41">
      <c r="A41" s="17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12" t="n"/>
      <c r="P41" s="12" t="n"/>
      <c r="Q41" s="12" t="n"/>
      <c r="R41" s="12" t="n"/>
    </row>
    <row r="42">
      <c r="A42" s="17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12" t="n"/>
      <c r="P42" s="12" t="n"/>
      <c r="Q42" s="12" t="n"/>
      <c r="R42" s="12" t="n"/>
    </row>
    <row r="43">
      <c r="A43" s="17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12" t="n"/>
      <c r="P43" s="12" t="n"/>
      <c r="Q43" s="12" t="n"/>
      <c r="R43" s="12" t="n"/>
    </row>
    <row r="44">
      <c r="A44" s="17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12" t="n"/>
      <c r="P44" s="12" t="n"/>
      <c r="Q44" s="12" t="n"/>
      <c r="R44" s="12" t="n"/>
    </row>
    <row r="45">
      <c r="A45" s="17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12" t="n"/>
      <c r="P45" s="12" t="n"/>
      <c r="Q45" s="12" t="n"/>
      <c r="R45" s="12" t="n"/>
    </row>
    <row r="46">
      <c r="A46" s="17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12" t="n"/>
      <c r="P46" s="12" t="n"/>
      <c r="Q46" s="12" t="n"/>
      <c r="R46" s="12" t="n"/>
    </row>
    <row r="47">
      <c r="A47" s="17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12" t="n"/>
      <c r="P47" s="12" t="n"/>
      <c r="Q47" s="12" t="n"/>
      <c r="R47" s="12" t="n"/>
    </row>
    <row r="48">
      <c r="A48" s="17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12" t="n"/>
      <c r="P48" s="12" t="n"/>
      <c r="Q48" s="12" t="n"/>
      <c r="R48" s="12" t="n"/>
    </row>
    <row r="49">
      <c r="A49" s="17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12" t="n"/>
      <c r="P49" s="12" t="n"/>
      <c r="Q49" s="12" t="n"/>
      <c r="R49" s="12" t="n"/>
    </row>
    <row r="50">
      <c r="A50" s="17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12" t="n"/>
      <c r="P50" s="12" t="n"/>
      <c r="Q50" s="12" t="n"/>
      <c r="R50" s="12" t="n"/>
    </row>
    <row r="51">
      <c r="A51" s="17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12" t="n"/>
      <c r="P51" s="12" t="n"/>
      <c r="Q51" s="12" t="n"/>
      <c r="R51" s="12" t="n"/>
    </row>
    <row r="52">
      <c r="A52" s="17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12" t="n"/>
      <c r="P52" s="12" t="n"/>
      <c r="Q52" s="12" t="n"/>
      <c r="R52" s="12" t="n"/>
    </row>
    <row r="53">
      <c r="A53" s="17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12" t="n"/>
      <c r="P53" s="12" t="n"/>
      <c r="Q53" s="12" t="n"/>
      <c r="R53" s="12" t="n"/>
    </row>
    <row r="54">
      <c r="A54" s="17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12" t="n"/>
      <c r="P54" s="12" t="n"/>
      <c r="Q54" s="12" t="n"/>
      <c r="R54" s="12" t="n"/>
    </row>
    <row r="55">
      <c r="A55" s="17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12" t="n"/>
      <c r="P55" s="12" t="n"/>
      <c r="Q55" s="12" t="n"/>
      <c r="R55" s="12" t="n"/>
    </row>
    <row r="56">
      <c r="A56" s="17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12" t="n"/>
      <c r="P56" s="12" t="n"/>
      <c r="Q56" s="12" t="n"/>
      <c r="R56" s="12" t="n"/>
    </row>
    <row r="57">
      <c r="A57" s="17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12" t="n"/>
      <c r="P57" s="12" t="n"/>
      <c r="Q57" s="12" t="n"/>
      <c r="R57" s="12" t="n"/>
    </row>
    <row r="58">
      <c r="A58" s="17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12" t="n"/>
      <c r="P58" s="12" t="n"/>
      <c r="Q58" s="12" t="n"/>
      <c r="R58" s="12" t="n"/>
    </row>
    <row r="59">
      <c r="A59" s="17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12" t="n"/>
      <c r="P59" s="12" t="n"/>
      <c r="Q59" s="12" t="n"/>
      <c r="R59" s="12" t="n"/>
    </row>
    <row r="60">
      <c r="A60" s="17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12" t="n"/>
      <c r="P60" s="12" t="n"/>
      <c r="Q60" s="12" t="n"/>
      <c r="R60" s="12" t="n"/>
    </row>
    <row r="61">
      <c r="A61" s="17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12" t="n"/>
      <c r="P61" s="12" t="n"/>
      <c r="Q61" s="12" t="n"/>
      <c r="R61" s="12" t="n"/>
    </row>
    <row r="62">
      <c r="A62" s="17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12" t="n"/>
      <c r="P62" s="12" t="n"/>
      <c r="Q62" s="12" t="n"/>
      <c r="R62" s="12" t="n"/>
    </row>
    <row r="63">
      <c r="A63" s="17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12" t="n"/>
      <c r="P63" s="12" t="n"/>
      <c r="Q63" s="12" t="n"/>
      <c r="R63" s="12" t="n"/>
    </row>
    <row r="64">
      <c r="A64" s="17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12" t="n"/>
      <c r="P64" s="12" t="n"/>
      <c r="Q64" s="12" t="n"/>
      <c r="R64" s="12" t="n"/>
    </row>
    <row r="65">
      <c r="A65" s="17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12" t="n"/>
      <c r="P65" s="12" t="n"/>
      <c r="Q65" s="12" t="n"/>
      <c r="R65" s="12" t="n"/>
    </row>
    <row r="66">
      <c r="A66" s="17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12" t="n"/>
      <c r="P66" s="12" t="n"/>
      <c r="Q66" s="12" t="n"/>
      <c r="R66" s="12" t="n"/>
    </row>
    <row r="67">
      <c r="A67" s="17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12" t="n"/>
      <c r="P67" s="12" t="n"/>
      <c r="Q67" s="12" t="n"/>
      <c r="R67" s="12" t="n"/>
    </row>
    <row r="68">
      <c r="A68" s="17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12" t="n"/>
      <c r="P68" s="12" t="n"/>
      <c r="Q68" s="12" t="n"/>
      <c r="R68" s="12" t="n"/>
    </row>
    <row r="69">
      <c r="A69" s="17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12" t="n"/>
      <c r="P69" s="12" t="n"/>
      <c r="Q69" s="12" t="n"/>
      <c r="R69" s="12" t="n"/>
    </row>
    <row r="70">
      <c r="A70" s="17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12" t="n"/>
      <c r="P70" s="12" t="n"/>
      <c r="Q70" s="12" t="n"/>
      <c r="R70" s="12" t="n"/>
    </row>
    <row r="71">
      <c r="A71" s="17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12" t="n"/>
      <c r="P71" s="12" t="n"/>
      <c r="Q71" s="12" t="n"/>
      <c r="R71" s="12" t="n"/>
    </row>
    <row r="72">
      <c r="A72" s="17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12" t="n"/>
      <c r="P72" s="12" t="n"/>
      <c r="Q72" s="12" t="n"/>
      <c r="R72" s="12" t="n"/>
    </row>
    <row r="73">
      <c r="A73" s="17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12" t="n"/>
      <c r="P73" s="12" t="n"/>
      <c r="Q73" s="12" t="n"/>
      <c r="R73" s="12" t="n"/>
    </row>
    <row r="74">
      <c r="A74" s="17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12" t="n"/>
      <c r="P74" s="12" t="n"/>
      <c r="Q74" s="12" t="n"/>
      <c r="R74" s="12" t="n"/>
    </row>
    <row r="75">
      <c r="A75" s="17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12" t="n"/>
      <c r="P75" s="12" t="n"/>
      <c r="Q75" s="12" t="n"/>
      <c r="R75" s="12" t="n"/>
    </row>
    <row r="76">
      <c r="A76" s="17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12" t="n"/>
      <c r="P76" s="12" t="n"/>
      <c r="Q76" s="12" t="n"/>
      <c r="R76" s="12" t="n"/>
    </row>
    <row r="77">
      <c r="A77" s="17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12" t="n"/>
      <c r="P77" s="12" t="n"/>
      <c r="Q77" s="12" t="n"/>
      <c r="R77" s="12" t="n"/>
    </row>
    <row r="78">
      <c r="A78" s="17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12" t="n"/>
      <c r="P78" s="12" t="n"/>
      <c r="Q78" s="12" t="n"/>
      <c r="R78" s="12" t="n"/>
    </row>
    <row r="79">
      <c r="A79" s="17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12" t="n"/>
      <c r="P79" s="12" t="n"/>
      <c r="Q79" s="12" t="n"/>
      <c r="R79" s="12" t="n"/>
    </row>
    <row r="80">
      <c r="A80" s="17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12" t="n"/>
      <c r="P80" s="12" t="n"/>
      <c r="Q80" s="12" t="n"/>
      <c r="R80" s="12" t="n"/>
    </row>
    <row r="81">
      <c r="A81" s="17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12" t="n"/>
      <c r="P81" s="12" t="n"/>
      <c r="Q81" s="12" t="n"/>
      <c r="R81" s="12" t="n"/>
    </row>
    <row r="82">
      <c r="A82" s="17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12" t="n"/>
      <c r="P82" s="12" t="n"/>
      <c r="Q82" s="12" t="n"/>
      <c r="R82" s="12" t="n"/>
    </row>
    <row r="83">
      <c r="A83" s="17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12" t="n"/>
      <c r="P83" s="12" t="n"/>
      <c r="Q83" s="12" t="n"/>
      <c r="R83" s="12" t="n"/>
    </row>
    <row r="84">
      <c r="A84" s="17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12" t="n"/>
      <c r="P84" s="12" t="n"/>
      <c r="Q84" s="12" t="n"/>
      <c r="R84" s="12" t="n"/>
    </row>
    <row r="85">
      <c r="A85" s="17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12" t="n"/>
      <c r="P85" s="12" t="n"/>
      <c r="Q85" s="12" t="n"/>
      <c r="R85" s="12" t="n"/>
    </row>
    <row r="86">
      <c r="A86" s="17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12" t="n"/>
      <c r="P86" s="12" t="n"/>
      <c r="Q86" s="12" t="n"/>
      <c r="R86" s="12" t="n"/>
    </row>
    <row r="87">
      <c r="A87" s="17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12" t="n"/>
      <c r="P87" s="12" t="n"/>
      <c r="Q87" s="12" t="n"/>
      <c r="R87" s="12" t="n"/>
    </row>
    <row r="88">
      <c r="A88" s="17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12" t="n"/>
      <c r="P88" s="12" t="n"/>
      <c r="Q88" s="12" t="n"/>
      <c r="R88" s="12" t="n"/>
    </row>
    <row r="89">
      <c r="A89" s="17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12" t="n"/>
      <c r="P89" s="12" t="n"/>
      <c r="Q89" s="12" t="n"/>
      <c r="R89" s="12" t="n"/>
    </row>
    <row r="90">
      <c r="A90" s="17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12" t="n"/>
      <c r="P90" s="12" t="n"/>
      <c r="Q90" s="12" t="n"/>
      <c r="R90" s="12" t="n"/>
    </row>
    <row r="91">
      <c r="A91" s="17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12" t="n"/>
      <c r="P91" s="12" t="n"/>
      <c r="Q91" s="12" t="n"/>
      <c r="R91" s="12" t="n"/>
    </row>
    <row r="92">
      <c r="A92" s="17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12" t="n"/>
      <c r="P92" s="12" t="n"/>
      <c r="Q92" s="12" t="n"/>
      <c r="R92" s="12" t="n"/>
    </row>
    <row r="93">
      <c r="A93" s="17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12" t="n"/>
      <c r="P93" s="12" t="n"/>
      <c r="Q93" s="12" t="n"/>
      <c r="R93" s="12" t="n"/>
    </row>
    <row r="94">
      <c r="A94" s="17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12" t="n"/>
      <c r="P94" s="12" t="n"/>
      <c r="Q94" s="12" t="n"/>
      <c r="R94" s="12" t="n"/>
    </row>
    <row r="95">
      <c r="A95" s="17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12" t="n"/>
      <c r="P95" s="12" t="n"/>
      <c r="Q95" s="12" t="n"/>
      <c r="R95" s="12" t="n"/>
    </row>
    <row r="96">
      <c r="A96" s="17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12" t="n"/>
      <c r="P96" s="12" t="n"/>
      <c r="Q96" s="12" t="n"/>
      <c r="R96" s="12" t="n"/>
    </row>
    <row r="97">
      <c r="A97" s="17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12" t="n"/>
      <c r="P97" s="12" t="n"/>
      <c r="Q97" s="12" t="n"/>
      <c r="R97" s="12" t="n"/>
    </row>
    <row r="98">
      <c r="A98" s="17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12" t="n"/>
      <c r="P98" s="12" t="n"/>
      <c r="Q98" s="12" t="n"/>
      <c r="R98" s="12" t="n"/>
    </row>
    <row r="99">
      <c r="A99" s="17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12" t="n"/>
      <c r="P99" s="12" t="n"/>
      <c r="Q99" s="12" t="n"/>
      <c r="R99" s="12" t="n"/>
    </row>
    <row r="100">
      <c r="A100" s="17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12" t="n"/>
      <c r="P100" s="12" t="n"/>
      <c r="Q100" s="12" t="n"/>
      <c r="R100" s="12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6" max="16"/>
    <col width="12" customWidth="1" min="17" max="17"/>
    <col width="12" customWidth="1" min="18" max="18"/>
  </cols>
  <sheetData>
    <row r="1" ht="24" customHeight="1">
      <c r="A1" s="16" t="inlineStr">
        <is>
          <t>Metric</t>
        </is>
      </c>
      <c r="B1" s="16" t="inlineStr">
        <is>
          <t>Jan</t>
        </is>
      </c>
      <c r="C1" s="16" t="inlineStr">
        <is>
          <t>Feb</t>
        </is>
      </c>
      <c r="D1" s="16" t="inlineStr">
        <is>
          <t>Mar</t>
        </is>
      </c>
      <c r="E1" s="16" t="inlineStr">
        <is>
          <t>Apr</t>
        </is>
      </c>
      <c r="F1" s="16" t="inlineStr">
        <is>
          <t>May</t>
        </is>
      </c>
      <c r="G1" s="16" t="inlineStr">
        <is>
          <t>Jun</t>
        </is>
      </c>
      <c r="H1" s="16" t="inlineStr">
        <is>
          <t>Jul</t>
        </is>
      </c>
      <c r="I1" s="16" t="inlineStr">
        <is>
          <t>Aug</t>
        </is>
      </c>
      <c r="J1" s="16" t="inlineStr">
        <is>
          <t>Sep</t>
        </is>
      </c>
      <c r="K1" s="16" t="inlineStr">
        <is>
          <t>Oct</t>
        </is>
      </c>
      <c r="L1" s="16" t="inlineStr">
        <is>
          <t>Nov</t>
        </is>
      </c>
      <c r="M1" s="16" t="inlineStr">
        <is>
          <t>Dec</t>
        </is>
      </c>
      <c r="N1" s="16" t="inlineStr">
        <is>
          <t>FY Total</t>
        </is>
      </c>
      <c r="O1" s="12" t="n"/>
      <c r="P1" s="12" t="n"/>
      <c r="Q1" s="12" t="n"/>
      <c r="R1" s="12" t="n"/>
    </row>
    <row r="2">
      <c r="A2" s="17" t="inlineStr">
        <is>
          <t>P&amp;L SG&amp;A</t>
        </is>
      </c>
      <c r="B2" s="30">
        <f>'P&amp;L Monthly'!B10</f>
        <v/>
      </c>
      <c r="C2" s="30">
        <f>'P&amp;L Monthly'!C10</f>
        <v/>
      </c>
      <c r="D2" s="30">
        <f>'P&amp;L Monthly'!D10</f>
        <v/>
      </c>
      <c r="E2" s="30">
        <f>'P&amp;L Monthly'!E10</f>
        <v/>
      </c>
      <c r="F2" s="30">
        <f>'P&amp;L Monthly'!F10</f>
        <v/>
      </c>
      <c r="G2" s="30">
        <f>'P&amp;L Monthly'!G10</f>
        <v/>
      </c>
      <c r="H2" s="30">
        <f>'P&amp;L Monthly'!H10</f>
        <v/>
      </c>
      <c r="I2" s="30">
        <f>'P&amp;L Monthly'!I10</f>
        <v/>
      </c>
      <c r="J2" s="30">
        <f>'P&amp;L Monthly'!J10</f>
        <v/>
      </c>
      <c r="K2" s="30">
        <f>'P&amp;L Monthly'!K10</f>
        <v/>
      </c>
      <c r="L2" s="30">
        <f>'P&amp;L Monthly'!L10</f>
        <v/>
      </c>
      <c r="M2" s="30">
        <f>'P&amp;L Monthly'!M10</f>
        <v/>
      </c>
      <c r="N2" s="30">
        <f>SUM(B2:M2)</f>
        <v/>
      </c>
      <c r="O2" s="12" t="n"/>
      <c r="P2" s="12" t="n"/>
      <c r="Q2" s="12" t="n"/>
      <c r="R2" s="12" t="n"/>
    </row>
    <row r="3">
      <c r="A3" s="17" t="inlineStr">
        <is>
          <t>OPEX Detail Total</t>
        </is>
      </c>
      <c r="B3" s="30">
        <f>'OPEX Detail'!B9</f>
        <v/>
      </c>
      <c r="C3" s="30">
        <f>'OPEX Detail'!C9</f>
        <v/>
      </c>
      <c r="D3" s="30">
        <f>'OPEX Detail'!D9</f>
        <v/>
      </c>
      <c r="E3" s="30">
        <f>'OPEX Detail'!E9</f>
        <v/>
      </c>
      <c r="F3" s="30">
        <f>'OPEX Detail'!F9</f>
        <v/>
      </c>
      <c r="G3" s="30">
        <f>'OPEX Detail'!G9</f>
        <v/>
      </c>
      <c r="H3" s="30">
        <f>'OPEX Detail'!H9</f>
        <v/>
      </c>
      <c r="I3" s="30">
        <f>'OPEX Detail'!I9</f>
        <v/>
      </c>
      <c r="J3" s="30">
        <f>'OPEX Detail'!J9</f>
        <v/>
      </c>
      <c r="K3" s="30">
        <f>'OPEX Detail'!K9</f>
        <v/>
      </c>
      <c r="L3" s="30">
        <f>'OPEX Detail'!L9</f>
        <v/>
      </c>
      <c r="M3" s="30">
        <f>'OPEX Detail'!M9</f>
        <v/>
      </c>
      <c r="N3" s="30">
        <f>SUM(B3:M3)</f>
        <v/>
      </c>
      <c r="O3" s="12" t="n"/>
      <c r="P3" s="12" t="n"/>
      <c r="Q3" s="12" t="n"/>
      <c r="R3" s="12" t="n"/>
    </row>
    <row r="4">
      <c r="A4" s="17" t="inlineStr">
        <is>
          <t>Difference</t>
        </is>
      </c>
      <c r="B4" s="30">
        <f>B2-B3</f>
        <v/>
      </c>
      <c r="C4" s="30">
        <f>C2-C3</f>
        <v/>
      </c>
      <c r="D4" s="30">
        <f>D2-D3</f>
        <v/>
      </c>
      <c r="E4" s="30">
        <f>E2-E3</f>
        <v/>
      </c>
      <c r="F4" s="30">
        <f>F2-F3</f>
        <v/>
      </c>
      <c r="G4" s="30">
        <f>G2-G3</f>
        <v/>
      </c>
      <c r="H4" s="30">
        <f>H2-H3</f>
        <v/>
      </c>
      <c r="I4" s="30">
        <f>I2-I3</f>
        <v/>
      </c>
      <c r="J4" s="30">
        <f>J2-J3</f>
        <v/>
      </c>
      <c r="K4" s="30">
        <f>K2-K3</f>
        <v/>
      </c>
      <c r="L4" s="30">
        <f>L2-L3</f>
        <v/>
      </c>
      <c r="M4" s="30">
        <f>M2-M3</f>
        <v/>
      </c>
      <c r="N4" s="30">
        <f>SUM(B4:M4)</f>
        <v/>
      </c>
      <c r="O4" s="12" t="n"/>
      <c r="P4" s="12" t="n"/>
      <c r="Q4" s="12" t="n"/>
      <c r="R4" s="12" t="n"/>
    </row>
    <row r="5">
      <c r="A5" s="17" t="inlineStr">
        <is>
          <t>P&amp;L Total OPEX</t>
        </is>
      </c>
      <c r="B5" s="30">
        <f>'P&amp;L Monthly'!B11</f>
        <v/>
      </c>
      <c r="C5" s="30">
        <f>'P&amp;L Monthly'!C11</f>
        <v/>
      </c>
      <c r="D5" s="30">
        <f>'P&amp;L Monthly'!D11</f>
        <v/>
      </c>
      <c r="E5" s="30">
        <f>'P&amp;L Monthly'!E11</f>
        <v/>
      </c>
      <c r="F5" s="30">
        <f>'P&amp;L Monthly'!F11</f>
        <v/>
      </c>
      <c r="G5" s="30">
        <f>'P&amp;L Monthly'!G11</f>
        <v/>
      </c>
      <c r="H5" s="30">
        <f>'P&amp;L Monthly'!H11</f>
        <v/>
      </c>
      <c r="I5" s="30">
        <f>'P&amp;L Monthly'!I11</f>
        <v/>
      </c>
      <c r="J5" s="30">
        <f>'P&amp;L Monthly'!J11</f>
        <v/>
      </c>
      <c r="K5" s="30">
        <f>'P&amp;L Monthly'!K11</f>
        <v/>
      </c>
      <c r="L5" s="30">
        <f>'P&amp;L Monthly'!L11</f>
        <v/>
      </c>
      <c r="M5" s="30">
        <f>'P&amp;L Monthly'!M11</f>
        <v/>
      </c>
      <c r="N5" s="30">
        <f>SUM(B5:M5)</f>
        <v/>
      </c>
      <c r="O5" s="12" t="n"/>
      <c r="P5" s="12" t="n"/>
      <c r="Q5" s="12" t="n"/>
      <c r="R5" s="12" t="n"/>
    </row>
    <row r="6">
      <c r="A6" s="17" t="inlineStr">
        <is>
          <t>R&amp;D + OPEX Detail</t>
        </is>
      </c>
      <c r="B6" s="30">
        <f>'P&amp;L Monthly'!B9+'OPEX Detail'!B9</f>
        <v/>
      </c>
      <c r="C6" s="30">
        <f>'P&amp;L Monthly'!C9+'OPEX Detail'!C9</f>
        <v/>
      </c>
      <c r="D6" s="30">
        <f>'P&amp;L Monthly'!D9+'OPEX Detail'!D9</f>
        <v/>
      </c>
      <c r="E6" s="30">
        <f>'P&amp;L Monthly'!E9+'OPEX Detail'!E9</f>
        <v/>
      </c>
      <c r="F6" s="30">
        <f>'P&amp;L Monthly'!F9+'OPEX Detail'!F9</f>
        <v/>
      </c>
      <c r="G6" s="30">
        <f>'P&amp;L Monthly'!G9+'OPEX Detail'!G9</f>
        <v/>
      </c>
      <c r="H6" s="30">
        <f>'P&amp;L Monthly'!H9+'OPEX Detail'!H9</f>
        <v/>
      </c>
      <c r="I6" s="30">
        <f>'P&amp;L Monthly'!I9+'OPEX Detail'!I9</f>
        <v/>
      </c>
      <c r="J6" s="30">
        <f>'P&amp;L Monthly'!J9+'OPEX Detail'!J9</f>
        <v/>
      </c>
      <c r="K6" s="30">
        <f>'P&amp;L Monthly'!K9+'OPEX Detail'!K9</f>
        <v/>
      </c>
      <c r="L6" s="30">
        <f>'P&amp;L Monthly'!L9+'OPEX Detail'!L9</f>
        <v/>
      </c>
      <c r="M6" s="30">
        <f>'P&amp;L Monthly'!M9+'OPEX Detail'!M9</f>
        <v/>
      </c>
      <c r="N6" s="30">
        <f>SUM(B6:M6)</f>
        <v/>
      </c>
      <c r="O6" s="12" t="n"/>
      <c r="P6" s="12" t="n"/>
      <c r="Q6" s="12" t="n"/>
      <c r="R6" s="12" t="n"/>
    </row>
    <row r="7">
      <c r="A7" s="17" t="inlineStr">
        <is>
          <t>Difference vs P&amp;L Total OPEX</t>
        </is>
      </c>
      <c r="B7" s="30">
        <f>B5-B6</f>
        <v/>
      </c>
      <c r="C7" s="30">
        <f>C5-C6</f>
        <v/>
      </c>
      <c r="D7" s="30">
        <f>D5-D6</f>
        <v/>
      </c>
      <c r="E7" s="30">
        <f>E5-E6</f>
        <v/>
      </c>
      <c r="F7" s="30">
        <f>F5-F6</f>
        <v/>
      </c>
      <c r="G7" s="30">
        <f>G5-G6</f>
        <v/>
      </c>
      <c r="H7" s="30">
        <f>H5-H6</f>
        <v/>
      </c>
      <c r="I7" s="30">
        <f>I5-I6</f>
        <v/>
      </c>
      <c r="J7" s="30">
        <f>J5-J6</f>
        <v/>
      </c>
      <c r="K7" s="30">
        <f>K5-K6</f>
        <v/>
      </c>
      <c r="L7" s="30">
        <f>L5-L6</f>
        <v/>
      </c>
      <c r="M7" s="30">
        <f>M5-M6</f>
        <v/>
      </c>
      <c r="N7" s="30">
        <f>SUM(B7:M7)</f>
        <v/>
      </c>
      <c r="O7" s="12" t="n"/>
      <c r="P7" s="12" t="n"/>
      <c r="Q7" s="12" t="n"/>
      <c r="R7" s="12" t="n"/>
    </row>
    <row r="8">
      <c r="A8" s="17" t="n"/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12" t="n"/>
      <c r="P8" s="12" t="n"/>
      <c r="Q8" s="12" t="n"/>
      <c r="R8" s="12" t="n"/>
    </row>
    <row r="9">
      <c r="A9" s="17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12" t="n"/>
      <c r="P9" s="12" t="n"/>
      <c r="Q9" s="12" t="n"/>
      <c r="R9" s="12" t="n"/>
    </row>
    <row r="10">
      <c r="A10" s="17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12" t="n"/>
      <c r="P10" s="12" t="n"/>
      <c r="Q10" s="12" t="n"/>
      <c r="R10" s="12" t="n"/>
    </row>
    <row r="11">
      <c r="A11" s="17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12" t="n"/>
      <c r="P11" s="12" t="n"/>
      <c r="Q11" s="12" t="n"/>
      <c r="R11" s="12" t="n"/>
    </row>
    <row r="12">
      <c r="A12" s="17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12" t="n"/>
      <c r="P12" s="12" t="n"/>
      <c r="Q12" s="12" t="n"/>
      <c r="R12" s="12" t="n"/>
    </row>
    <row r="13">
      <c r="A13" s="17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12" t="n"/>
      <c r="P13" s="12" t="n"/>
      <c r="Q13" s="12" t="n"/>
      <c r="R13" s="12" t="n"/>
    </row>
    <row r="14">
      <c r="A14" s="17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12" t="n"/>
      <c r="P14" s="12" t="n"/>
      <c r="Q14" s="12" t="n"/>
      <c r="R14" s="12" t="n"/>
    </row>
    <row r="15">
      <c r="A15" s="17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12" t="n"/>
      <c r="P15" s="12" t="n"/>
      <c r="Q15" s="12" t="n"/>
      <c r="R15" s="12" t="n"/>
    </row>
    <row r="16">
      <c r="A16" s="17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12" t="n"/>
      <c r="P16" s="12" t="n"/>
      <c r="Q16" s="12" t="n"/>
      <c r="R16" s="12" t="n"/>
    </row>
    <row r="17">
      <c r="A17" s="17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12" t="n"/>
      <c r="P17" s="12" t="n"/>
      <c r="Q17" s="12" t="n"/>
      <c r="R17" s="12" t="n"/>
    </row>
    <row r="18">
      <c r="A18" s="17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12" t="n"/>
      <c r="P18" s="12" t="n"/>
      <c r="Q18" s="12" t="n"/>
      <c r="R18" s="12" t="n"/>
    </row>
    <row r="19">
      <c r="A19" s="17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12" t="n"/>
      <c r="P19" s="12" t="n"/>
      <c r="Q19" s="12" t="n"/>
      <c r="R19" s="12" t="n"/>
    </row>
    <row r="20">
      <c r="A20" s="17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12" t="n"/>
      <c r="P20" s="12" t="n"/>
      <c r="Q20" s="12" t="n"/>
      <c r="R20" s="12" t="n"/>
    </row>
    <row r="21">
      <c r="A21" s="17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12" t="n"/>
      <c r="P21" s="12" t="n"/>
      <c r="Q21" s="12" t="n"/>
      <c r="R21" s="12" t="n"/>
    </row>
    <row r="22">
      <c r="A22" s="17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12" t="n"/>
      <c r="P22" s="12" t="n"/>
      <c r="Q22" s="12" t="n"/>
      <c r="R22" s="12" t="n"/>
    </row>
    <row r="23">
      <c r="A23" s="17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12" t="n"/>
      <c r="P23" s="12" t="n"/>
      <c r="Q23" s="12" t="n"/>
      <c r="R23" s="12" t="n"/>
    </row>
    <row r="24">
      <c r="A24" s="17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12" t="n"/>
      <c r="P24" s="12" t="n"/>
      <c r="Q24" s="12" t="n"/>
      <c r="R24" s="12" t="n"/>
    </row>
    <row r="25">
      <c r="A25" s="17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12" t="n"/>
      <c r="P25" s="12" t="n"/>
      <c r="Q25" s="12" t="n"/>
      <c r="R25" s="12" t="n"/>
    </row>
    <row r="26">
      <c r="A26" s="17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12" t="n"/>
      <c r="P26" s="12" t="n"/>
      <c r="Q26" s="12" t="n"/>
      <c r="R26" s="12" t="n"/>
    </row>
    <row r="27">
      <c r="A27" s="17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12" t="n"/>
      <c r="P27" s="12" t="n"/>
      <c r="Q27" s="12" t="n"/>
      <c r="R27" s="12" t="n"/>
    </row>
    <row r="28">
      <c r="A28" s="17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12" t="n"/>
      <c r="P28" s="12" t="n"/>
      <c r="Q28" s="12" t="n"/>
      <c r="R28" s="12" t="n"/>
    </row>
    <row r="29">
      <c r="A29" s="17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12" t="n"/>
      <c r="P29" s="12" t="n"/>
      <c r="Q29" s="12" t="n"/>
      <c r="R29" s="12" t="n"/>
    </row>
    <row r="30">
      <c r="A30" s="17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12" t="n"/>
      <c r="P30" s="12" t="n"/>
      <c r="Q30" s="12" t="n"/>
      <c r="R30" s="12" t="n"/>
    </row>
    <row r="31">
      <c r="A31" s="17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12" t="n"/>
      <c r="P31" s="12" t="n"/>
      <c r="Q31" s="12" t="n"/>
      <c r="R31" s="12" t="n"/>
    </row>
    <row r="32">
      <c r="A32" s="17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12" t="n"/>
      <c r="P32" s="12" t="n"/>
      <c r="Q32" s="12" t="n"/>
      <c r="R32" s="12" t="n"/>
    </row>
    <row r="33">
      <c r="A33" s="17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12" t="n"/>
      <c r="P33" s="12" t="n"/>
      <c r="Q33" s="12" t="n"/>
      <c r="R33" s="12" t="n"/>
    </row>
    <row r="34">
      <c r="A34" s="17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12" t="n"/>
      <c r="P34" s="12" t="n"/>
      <c r="Q34" s="12" t="n"/>
      <c r="R34" s="12" t="n"/>
    </row>
    <row r="35">
      <c r="A35" s="17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12" t="n"/>
      <c r="P35" s="12" t="n"/>
      <c r="Q35" s="12" t="n"/>
      <c r="R35" s="12" t="n"/>
    </row>
    <row r="36">
      <c r="A36" s="17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12" t="n"/>
      <c r="P36" s="12" t="n"/>
      <c r="Q36" s="12" t="n"/>
      <c r="R36" s="12" t="n"/>
    </row>
    <row r="37">
      <c r="A37" s="17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12" t="n"/>
      <c r="P37" s="12" t="n"/>
      <c r="Q37" s="12" t="n"/>
      <c r="R37" s="12" t="n"/>
    </row>
    <row r="38">
      <c r="A38" s="17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12" t="n"/>
      <c r="P38" s="12" t="n"/>
      <c r="Q38" s="12" t="n"/>
      <c r="R38" s="12" t="n"/>
    </row>
    <row r="39">
      <c r="A39" s="17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12" t="n"/>
      <c r="P39" s="12" t="n"/>
      <c r="Q39" s="12" t="n"/>
      <c r="R39" s="12" t="n"/>
    </row>
    <row r="40">
      <c r="A40" s="17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12" t="n"/>
      <c r="P40" s="12" t="n"/>
      <c r="Q40" s="12" t="n"/>
      <c r="R40" s="12" t="n"/>
    </row>
    <row r="41">
      <c r="A41" s="17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12" t="n"/>
      <c r="P41" s="12" t="n"/>
      <c r="Q41" s="12" t="n"/>
      <c r="R41" s="12" t="n"/>
    </row>
    <row r="42">
      <c r="A42" s="17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12" t="n"/>
      <c r="P42" s="12" t="n"/>
      <c r="Q42" s="12" t="n"/>
      <c r="R42" s="12" t="n"/>
    </row>
    <row r="43">
      <c r="A43" s="17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12" t="n"/>
      <c r="P43" s="12" t="n"/>
      <c r="Q43" s="12" t="n"/>
      <c r="R43" s="12" t="n"/>
    </row>
    <row r="44">
      <c r="A44" s="17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12" t="n"/>
      <c r="P44" s="12" t="n"/>
      <c r="Q44" s="12" t="n"/>
      <c r="R44" s="12" t="n"/>
    </row>
    <row r="45">
      <c r="A45" s="17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12" t="n"/>
      <c r="P45" s="12" t="n"/>
      <c r="Q45" s="12" t="n"/>
      <c r="R45" s="12" t="n"/>
    </row>
    <row r="46">
      <c r="A46" s="17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12" t="n"/>
      <c r="P46" s="12" t="n"/>
      <c r="Q46" s="12" t="n"/>
      <c r="R46" s="12" t="n"/>
    </row>
    <row r="47">
      <c r="A47" s="17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12" t="n"/>
      <c r="P47" s="12" t="n"/>
      <c r="Q47" s="12" t="n"/>
      <c r="R47" s="12" t="n"/>
    </row>
    <row r="48">
      <c r="A48" s="17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12" t="n"/>
      <c r="P48" s="12" t="n"/>
      <c r="Q48" s="12" t="n"/>
      <c r="R48" s="12" t="n"/>
    </row>
    <row r="49">
      <c r="A49" s="17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12" t="n"/>
      <c r="P49" s="12" t="n"/>
      <c r="Q49" s="12" t="n"/>
      <c r="R49" s="12" t="n"/>
    </row>
    <row r="50">
      <c r="A50" s="17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12" t="n"/>
      <c r="P50" s="12" t="n"/>
      <c r="Q50" s="12" t="n"/>
      <c r="R50" s="12" t="n"/>
    </row>
    <row r="51">
      <c r="A51" s="17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12" t="n"/>
      <c r="P51" s="12" t="n"/>
      <c r="Q51" s="12" t="n"/>
      <c r="R51" s="12" t="n"/>
    </row>
    <row r="52">
      <c r="A52" s="17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12" t="n"/>
      <c r="P52" s="12" t="n"/>
      <c r="Q52" s="12" t="n"/>
      <c r="R52" s="12" t="n"/>
    </row>
    <row r="53">
      <c r="A53" s="17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12" t="n"/>
      <c r="P53" s="12" t="n"/>
      <c r="Q53" s="12" t="n"/>
      <c r="R53" s="12" t="n"/>
    </row>
    <row r="54">
      <c r="A54" s="17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12" t="n"/>
      <c r="P54" s="12" t="n"/>
      <c r="Q54" s="12" t="n"/>
      <c r="R54" s="12" t="n"/>
    </row>
    <row r="55">
      <c r="A55" s="17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12" t="n"/>
      <c r="P55" s="12" t="n"/>
      <c r="Q55" s="12" t="n"/>
      <c r="R55" s="12" t="n"/>
    </row>
    <row r="56">
      <c r="A56" s="17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12" t="n"/>
      <c r="P56" s="12" t="n"/>
      <c r="Q56" s="12" t="n"/>
      <c r="R56" s="12" t="n"/>
    </row>
    <row r="57">
      <c r="A57" s="17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12" t="n"/>
      <c r="P57" s="12" t="n"/>
      <c r="Q57" s="12" t="n"/>
      <c r="R57" s="12" t="n"/>
    </row>
    <row r="58">
      <c r="A58" s="17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12" t="n"/>
      <c r="P58" s="12" t="n"/>
      <c r="Q58" s="12" t="n"/>
      <c r="R58" s="12" t="n"/>
    </row>
    <row r="59">
      <c r="A59" s="17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12" t="n"/>
      <c r="P59" s="12" t="n"/>
      <c r="Q59" s="12" t="n"/>
      <c r="R59" s="12" t="n"/>
    </row>
    <row r="60">
      <c r="A60" s="17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12" t="n"/>
      <c r="P60" s="12" t="n"/>
      <c r="Q60" s="12" t="n"/>
      <c r="R60" s="12" t="n"/>
    </row>
    <row r="61">
      <c r="A61" s="17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12" t="n"/>
      <c r="P61" s="12" t="n"/>
      <c r="Q61" s="12" t="n"/>
      <c r="R61" s="12" t="n"/>
    </row>
    <row r="62">
      <c r="A62" s="17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12" t="n"/>
      <c r="P62" s="12" t="n"/>
      <c r="Q62" s="12" t="n"/>
      <c r="R62" s="12" t="n"/>
    </row>
    <row r="63">
      <c r="A63" s="17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12" t="n"/>
      <c r="P63" s="12" t="n"/>
      <c r="Q63" s="12" t="n"/>
      <c r="R63" s="12" t="n"/>
    </row>
    <row r="64">
      <c r="A64" s="17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12" t="n"/>
      <c r="P64" s="12" t="n"/>
      <c r="Q64" s="12" t="n"/>
      <c r="R64" s="12" t="n"/>
    </row>
    <row r="65">
      <c r="A65" s="17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12" t="n"/>
      <c r="P65" s="12" t="n"/>
      <c r="Q65" s="12" t="n"/>
      <c r="R65" s="12" t="n"/>
    </row>
    <row r="66">
      <c r="A66" s="17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12" t="n"/>
      <c r="P66" s="12" t="n"/>
      <c r="Q66" s="12" t="n"/>
      <c r="R66" s="12" t="n"/>
    </row>
    <row r="67">
      <c r="A67" s="17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12" t="n"/>
      <c r="P67" s="12" t="n"/>
      <c r="Q67" s="12" t="n"/>
      <c r="R67" s="12" t="n"/>
    </row>
    <row r="68">
      <c r="A68" s="17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12" t="n"/>
      <c r="P68" s="12" t="n"/>
      <c r="Q68" s="12" t="n"/>
      <c r="R68" s="12" t="n"/>
    </row>
    <row r="69">
      <c r="A69" s="17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12" t="n"/>
      <c r="P69" s="12" t="n"/>
      <c r="Q69" s="12" t="n"/>
      <c r="R69" s="12" t="n"/>
    </row>
    <row r="70">
      <c r="A70" s="17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12" t="n"/>
      <c r="P70" s="12" t="n"/>
      <c r="Q70" s="12" t="n"/>
      <c r="R70" s="12" t="n"/>
    </row>
    <row r="71">
      <c r="A71" s="17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12" t="n"/>
      <c r="P71" s="12" t="n"/>
      <c r="Q71" s="12" t="n"/>
      <c r="R71" s="12" t="n"/>
    </row>
    <row r="72">
      <c r="A72" s="17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12" t="n"/>
      <c r="P72" s="12" t="n"/>
      <c r="Q72" s="12" t="n"/>
      <c r="R72" s="12" t="n"/>
    </row>
    <row r="73">
      <c r="A73" s="17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12" t="n"/>
      <c r="P73" s="12" t="n"/>
      <c r="Q73" s="12" t="n"/>
      <c r="R73" s="12" t="n"/>
    </row>
    <row r="74">
      <c r="A74" s="17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12" t="n"/>
      <c r="P74" s="12" t="n"/>
      <c r="Q74" s="12" t="n"/>
      <c r="R74" s="12" t="n"/>
    </row>
    <row r="75">
      <c r="A75" s="17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12" t="n"/>
      <c r="P75" s="12" t="n"/>
      <c r="Q75" s="12" t="n"/>
      <c r="R75" s="12" t="n"/>
    </row>
    <row r="76">
      <c r="A76" s="17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12" t="n"/>
      <c r="P76" s="12" t="n"/>
      <c r="Q76" s="12" t="n"/>
      <c r="R76" s="12" t="n"/>
    </row>
    <row r="77">
      <c r="A77" s="17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12" t="n"/>
      <c r="P77" s="12" t="n"/>
      <c r="Q77" s="12" t="n"/>
      <c r="R77" s="12" t="n"/>
    </row>
    <row r="78">
      <c r="A78" s="17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12" t="n"/>
      <c r="P78" s="12" t="n"/>
      <c r="Q78" s="12" t="n"/>
      <c r="R78" s="12" t="n"/>
    </row>
    <row r="79">
      <c r="A79" s="17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12" t="n"/>
      <c r="P79" s="12" t="n"/>
      <c r="Q79" s="12" t="n"/>
      <c r="R79" s="12" t="n"/>
    </row>
    <row r="80">
      <c r="A80" s="17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12" t="n"/>
      <c r="P80" s="12" t="n"/>
      <c r="Q80" s="12" t="n"/>
      <c r="R80" s="12" t="n"/>
    </row>
    <row r="81">
      <c r="A81" s="17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12" t="n"/>
      <c r="P81" s="12" t="n"/>
      <c r="Q81" s="12" t="n"/>
      <c r="R81" s="12" t="n"/>
    </row>
    <row r="82">
      <c r="A82" s="17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12" t="n"/>
      <c r="P82" s="12" t="n"/>
      <c r="Q82" s="12" t="n"/>
      <c r="R82" s="12" t="n"/>
    </row>
    <row r="83">
      <c r="A83" s="17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12" t="n"/>
      <c r="P83" s="12" t="n"/>
      <c r="Q83" s="12" t="n"/>
      <c r="R83" s="12" t="n"/>
    </row>
    <row r="84">
      <c r="A84" s="17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12" t="n"/>
      <c r="P84" s="12" t="n"/>
      <c r="Q84" s="12" t="n"/>
      <c r="R84" s="12" t="n"/>
    </row>
    <row r="85">
      <c r="A85" s="17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12" t="n"/>
      <c r="P85" s="12" t="n"/>
      <c r="Q85" s="12" t="n"/>
      <c r="R85" s="12" t="n"/>
    </row>
    <row r="86">
      <c r="A86" s="17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12" t="n"/>
      <c r="P86" s="12" t="n"/>
      <c r="Q86" s="12" t="n"/>
      <c r="R86" s="12" t="n"/>
    </row>
    <row r="87">
      <c r="A87" s="17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12" t="n"/>
      <c r="P87" s="12" t="n"/>
      <c r="Q87" s="12" t="n"/>
      <c r="R87" s="12" t="n"/>
    </row>
    <row r="88">
      <c r="A88" s="17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12" t="n"/>
      <c r="P88" s="12" t="n"/>
      <c r="Q88" s="12" t="n"/>
      <c r="R88" s="12" t="n"/>
    </row>
    <row r="89">
      <c r="A89" s="17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12" t="n"/>
      <c r="P89" s="12" t="n"/>
      <c r="Q89" s="12" t="n"/>
      <c r="R89" s="12" t="n"/>
    </row>
    <row r="90">
      <c r="A90" s="17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12" t="n"/>
      <c r="P90" s="12" t="n"/>
      <c r="Q90" s="12" t="n"/>
      <c r="R90" s="12" t="n"/>
    </row>
    <row r="91">
      <c r="A91" s="17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12" t="n"/>
      <c r="P91" s="12" t="n"/>
      <c r="Q91" s="12" t="n"/>
      <c r="R91" s="12" t="n"/>
    </row>
    <row r="92">
      <c r="A92" s="17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12" t="n"/>
      <c r="P92" s="12" t="n"/>
      <c r="Q92" s="12" t="n"/>
      <c r="R92" s="12" t="n"/>
    </row>
    <row r="93">
      <c r="A93" s="17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12" t="n"/>
      <c r="P93" s="12" t="n"/>
      <c r="Q93" s="12" t="n"/>
      <c r="R93" s="12" t="n"/>
    </row>
    <row r="94">
      <c r="A94" s="17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12" t="n"/>
      <c r="P94" s="12" t="n"/>
      <c r="Q94" s="12" t="n"/>
      <c r="R94" s="12" t="n"/>
    </row>
    <row r="95">
      <c r="A95" s="17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12" t="n"/>
      <c r="P95" s="12" t="n"/>
      <c r="Q95" s="12" t="n"/>
      <c r="R95" s="12" t="n"/>
    </row>
    <row r="96">
      <c r="A96" s="17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12" t="n"/>
      <c r="P96" s="12" t="n"/>
      <c r="Q96" s="12" t="n"/>
      <c r="R96" s="12" t="n"/>
    </row>
    <row r="97">
      <c r="A97" s="17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12" t="n"/>
      <c r="P97" s="12" t="n"/>
      <c r="Q97" s="12" t="n"/>
      <c r="R97" s="12" t="n"/>
    </row>
    <row r="98">
      <c r="A98" s="17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12" t="n"/>
      <c r="P98" s="12" t="n"/>
      <c r="Q98" s="12" t="n"/>
      <c r="R98" s="12" t="n"/>
    </row>
    <row r="99">
      <c r="A99" s="17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12" t="n"/>
      <c r="P99" s="12" t="n"/>
      <c r="Q99" s="12" t="n"/>
      <c r="R99" s="12" t="n"/>
    </row>
    <row r="100">
      <c r="A100" s="17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12" t="n"/>
      <c r="P100" s="12" t="n"/>
      <c r="Q100" s="12" t="n"/>
      <c r="R100" s="12" t="n"/>
    </row>
  </sheetData>
  <conditionalFormatting sqref="B4:N4">
    <cfRule type="expression" priority="1" dxfId="0">
      <formula>ABS(B4)&gt;1</formula>
    </cfRule>
  </conditionalFormatting>
  <conditionalFormatting sqref="B7:N7">
    <cfRule type="expression" priority="2" dxfId="0">
      <formula>ABS(B7)&gt;1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48" customWidth="1" min="3" max="3"/>
    <col width="48" customWidth="1" min="4" max="4"/>
  </cols>
  <sheetData>
    <row r="1" ht="24" customHeight="1">
      <c r="A1" s="16" t="inlineStr">
        <is>
          <t>Source</t>
        </is>
      </c>
      <c r="B1" s="16" t="inlineStr">
        <is>
          <t>URL</t>
        </is>
      </c>
      <c r="C1" s="16" t="inlineStr">
        <is>
          <t>Notes</t>
        </is>
      </c>
      <c r="D1" s="16" t="inlineStr">
        <is>
          <t>Used for</t>
        </is>
      </c>
    </row>
    <row r="2">
      <c r="A2" s="17" t="inlineStr">
        <is>
          <t>Apple FY2025 Q4 consolidated financial statements</t>
        </is>
      </c>
      <c r="B2" s="17" t="inlineStr">
        <is>
          <t>https://www.apple.com/newsroom/pdfs/fy2025-q4/FY25_Q4_Consolidated_Financial_Statements.pdf</t>
        </is>
      </c>
      <c r="C2" s="17" t="inlineStr">
        <is>
          <t>Public Apple consolidated financial statements. The workbook uses similar line-item structure and illustrative monthly allocations, not exact monthly Apple data.</t>
        </is>
      </c>
      <c r="D2" s="17" t="inlineStr">
        <is>
          <t>P&amp;L line-item structure and annual scale references</t>
        </is>
      </c>
    </row>
    <row r="3">
      <c r="A3" s="17" t="inlineStr">
        <is>
          <t>Apple 2024 Form 10-K / SEC filing</t>
        </is>
      </c>
      <c r="B3" s="17" t="inlineStr">
        <is>
          <t>https://www.sec.gov/Archives/edgar/data/320193/000032019324000123/aapl-20240928.htm</t>
        </is>
      </c>
      <c r="C3" s="17" t="inlineStr">
        <is>
          <t>Public SEC Form 10-K, used to validate that the selected financial statement line items are common in real company reporting.</t>
        </is>
      </c>
      <c r="D3" s="17" t="inlineStr">
        <is>
          <t>Revenue, cost of sales, operating expenses, tax structure</t>
        </is>
      </c>
    </row>
    <row r="4">
      <c r="A4" s="17" t="n"/>
      <c r="B4" s="17" t="n"/>
      <c r="C4" s="17" t="n"/>
      <c r="D4" s="17" t="n"/>
    </row>
    <row r="5">
      <c r="A5" s="17" t="n"/>
      <c r="B5" s="17" t="n"/>
      <c r="C5" s="17" t="n"/>
      <c r="D5" s="17" t="n"/>
    </row>
    <row r="6">
      <c r="A6" s="17" t="n"/>
      <c r="B6" s="17" t="n"/>
      <c r="C6" s="17" t="n"/>
      <c r="D6" s="17" t="n"/>
    </row>
    <row r="7">
      <c r="A7" s="17" t="n"/>
      <c r="B7" s="17" t="n"/>
      <c r="C7" s="17" t="n"/>
      <c r="D7" s="17" t="n"/>
    </row>
    <row r="8">
      <c r="A8" s="17" t="n"/>
      <c r="B8" s="17" t="n"/>
      <c r="C8" s="17" t="n"/>
      <c r="D8" s="17" t="n"/>
    </row>
    <row r="9">
      <c r="A9" s="17" t="n"/>
      <c r="B9" s="17" t="n"/>
      <c r="C9" s="17" t="n"/>
      <c r="D9" s="17" t="n"/>
    </row>
    <row r="10">
      <c r="A10" s="17" t="n"/>
      <c r="B10" s="17" t="n"/>
      <c r="C10" s="17" t="n"/>
      <c r="D10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2026-05-26T11:16:53Z</dcterms:created>
  <dcterms:modified xsi:type="dcterms:W3CDTF">2026-05-26T11:16:53Z</dcterms:modified>
</cp:coreProperties>
</file>